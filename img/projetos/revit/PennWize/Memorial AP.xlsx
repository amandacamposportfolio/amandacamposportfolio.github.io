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Águas Pluviais" sheetId="1" r:id="rId5"/>
  </sheets>
  <definedNames/>
  <calcPr/>
</workbook>
</file>

<file path=xl/sharedStrings.xml><?xml version="1.0" encoding="utf-8"?>
<sst xmlns="http://schemas.openxmlformats.org/spreadsheetml/2006/main" count="329" uniqueCount="100">
  <si>
    <t>\</t>
  </si>
  <si>
    <t>A</t>
  </si>
  <si>
    <t>Casa de Gás</t>
  </si>
  <si>
    <t>POÇOS ABSORVENTES</t>
  </si>
  <si>
    <t>Composição de Áreas (Geral)</t>
  </si>
  <si>
    <t>Ac + A1 + A2</t>
  </si>
  <si>
    <t>Local</t>
  </si>
  <si>
    <t>a</t>
  </si>
  <si>
    <t>b</t>
  </si>
  <si>
    <t>h</t>
  </si>
  <si>
    <t>Dimensionamento</t>
  </si>
  <si>
    <t>A (m²)</t>
  </si>
  <si>
    <t>Q (L / min)</t>
  </si>
  <si>
    <t>Área de Contribuição</t>
  </si>
  <si>
    <t>Soma de Todas as Áreas</t>
  </si>
  <si>
    <t>m²</t>
  </si>
  <si>
    <t>Superfície plana horizontal</t>
  </si>
  <si>
    <t>a * b</t>
  </si>
  <si>
    <t>Area 01</t>
  </si>
  <si>
    <t>2 platibandas + laje</t>
  </si>
  <si>
    <t>Volume de Água</t>
  </si>
  <si>
    <t>A * i * (t/60) / 1000</t>
  </si>
  <si>
    <t>m³</t>
  </si>
  <si>
    <t>Superfície plana inclinada</t>
  </si>
  <si>
    <t>(a + (h/2)) * b</t>
  </si>
  <si>
    <t>Area 02</t>
  </si>
  <si>
    <t>1 platibanda maior + telhado inclinado</t>
  </si>
  <si>
    <t>Volume dos Poços</t>
  </si>
  <si>
    <t>n * ((PI() * D^2 / 4) * h)</t>
  </si>
  <si>
    <t>Superfície plana vertical única</t>
  </si>
  <si>
    <t>(a * b) / 2</t>
  </si>
  <si>
    <t>Area 03</t>
  </si>
  <si>
    <t>Volume Infiltrado</t>
  </si>
  <si>
    <t>Va - Vp</t>
  </si>
  <si>
    <t>Duas superfícies verticais opostas (Simétricas)</t>
  </si>
  <si>
    <t>Área Mínima</t>
  </si>
  <si>
    <t>(Vi * 1000) / Ci</t>
  </si>
  <si>
    <t>Duas superfícies verticais opostas (Assimétricas)</t>
  </si>
  <si>
    <t>ab &lt; cd</t>
  </si>
  <si>
    <t>(c*d - a*b) / 2</t>
  </si>
  <si>
    <t>Salão</t>
  </si>
  <si>
    <t>Área Disponível</t>
  </si>
  <si>
    <t>n * (PI() * D * h + (PI() * D^2 / 4))</t>
  </si>
  <si>
    <t>ab &gt; cd</t>
  </si>
  <si>
    <t>(a*b - c*d) / 2</t>
  </si>
  <si>
    <t>Duas superfícies verticais adjacentes</t>
  </si>
  <si>
    <t>RAIZ(A1^2 + A2^2) / 2</t>
  </si>
  <si>
    <t>Diâmetro do Sumidouro</t>
  </si>
  <si>
    <t>m</t>
  </si>
  <si>
    <t>Três superfícies verticais adjacentes</t>
  </si>
  <si>
    <t>Altura do Sumidouro</t>
  </si>
  <si>
    <t>Quatro superfícies verticais</t>
  </si>
  <si>
    <t>Número de Sumidouros</t>
  </si>
  <si>
    <t>Guarita</t>
  </si>
  <si>
    <t>Q</t>
  </si>
  <si>
    <t>i * A / 60</t>
  </si>
  <si>
    <t>i</t>
  </si>
  <si>
    <t>5 anos</t>
  </si>
  <si>
    <t>1 platibanda maior + laje</t>
  </si>
  <si>
    <t>largura</t>
  </si>
  <si>
    <t>comprimento</t>
  </si>
  <si>
    <t>Cobertura / Área de Resgate</t>
  </si>
  <si>
    <t>c</t>
  </si>
  <si>
    <t>altura telhado</t>
  </si>
  <si>
    <t>d</t>
  </si>
  <si>
    <t>altura platibanda util</t>
  </si>
  <si>
    <t>1 platibanda maior + telhado</t>
  </si>
  <si>
    <t>T = 1 ano, para áreas pavimentadas, onde empoçamentos possam ser tolerados;</t>
  </si>
  <si>
    <t>T = 5 anos, para coberturas e/ou terraços;</t>
  </si>
  <si>
    <t>T = 25 anos, para coberturas e áreas onde empoçamento ou extravasamento não possa ser tolerado.</t>
  </si>
  <si>
    <t>Soma Area 02</t>
  </si>
  <si>
    <t>1 m3/h</t>
  </si>
  <si>
    <t>16,667 L/min</t>
  </si>
  <si>
    <t>n</t>
  </si>
  <si>
    <t xml:space="preserve">Reservatório Topo Torre </t>
  </si>
  <si>
    <t>DRENAGEM DOS PATIOS</t>
  </si>
  <si>
    <t>Area Total Lote</t>
  </si>
  <si>
    <t>Q patios</t>
  </si>
  <si>
    <t>L / seg</t>
  </si>
  <si>
    <t>Número de dispositivos necessários</t>
  </si>
  <si>
    <t>Churrasqueira</t>
  </si>
  <si>
    <t>Casa de Lixo</t>
  </si>
  <si>
    <t>CONFIRMAÇÃO DO DIMENSIONAMENTO DAS CALHAS</t>
  </si>
  <si>
    <t>Vazões de Projeto (L / min)</t>
  </si>
  <si>
    <t>Capacidade de vazão (L / min)</t>
  </si>
  <si>
    <t>DIMENSÃO DE PROJETO DAS CALHAS (NOVO)</t>
  </si>
  <si>
    <t>DRENO PARA AS CALHAS</t>
  </si>
  <si>
    <t>Área</t>
  </si>
  <si>
    <t>-</t>
  </si>
  <si>
    <t>0,5 m de Altura</t>
  </si>
  <si>
    <t>DIÂMETRO</t>
  </si>
  <si>
    <t>0,5 m de Largura</t>
  </si>
  <si>
    <t>100 mm</t>
  </si>
  <si>
    <t>Cobertura/Área de Resgate</t>
  </si>
  <si>
    <t>0,6 m de Largura</t>
  </si>
  <si>
    <t>150 mm</t>
  </si>
  <si>
    <t>NÚMERO DE DRENOS VERTICAIS PARA LAJES</t>
  </si>
  <si>
    <t>Quantidade de drenos</t>
  </si>
  <si>
    <t>NORMA</t>
  </si>
  <si>
    <t>https://ecivilufes.wordpress.com/wp-content/uploads/2013/06/nbr-10844-1989-instalac3a7c3b5es-prediais-de-c3a1guas-pluviais.pdf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</si>
</sst>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color rgb="FF1F1F1F"/>
      <name val="Times New Roman"/>
    </font>
    <font/>
    <font>
      <color rgb="FF444746"/>
      <name val="Times New Roman"/>
    </font>
    <font>
      <color rgb="FF1F1F1F"/>
      <name val="&quot;Google Sans Text&quot;"/>
    </font>
    <font>
      <sz val="12.0"/>
      <color theme="1"/>
      <name val="Times New Roman"/>
    </font>
    <font>
      <color theme="1"/>
      <name val="Times New Roman"/>
    </font>
    <font>
      <color rgb="FF444746"/>
      <name val="&quot;Google Sans Text&quot;"/>
    </font>
    <font>
      <color theme="1"/>
      <name val="Arial"/>
    </font>
    <font>
      <color rgb="FFFFFFFF"/>
      <name val="Arial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64FF64"/>
        <bgColor rgb="FF64FF64"/>
      </patternFill>
    </fill>
    <fill>
      <patternFill patternType="solid">
        <fgColor rgb="FFFFFF00"/>
        <bgColor rgb="FFFFFF00"/>
      </patternFill>
    </fill>
    <fill>
      <patternFill patternType="solid">
        <fgColor rgb="FFFF9393"/>
        <bgColor rgb="FFFF9393"/>
      </patternFill>
    </fill>
    <fill>
      <patternFill patternType="solid">
        <fgColor rgb="FFD5A6BD"/>
        <bgColor rgb="FFD5A6BD"/>
      </patternFill>
    </fill>
    <fill>
      <patternFill patternType="solid">
        <fgColor rgb="FF07FFFF"/>
        <bgColor rgb="FF07FFFF"/>
      </patternFill>
    </fill>
    <fill>
      <patternFill patternType="solid">
        <fgColor rgb="FFC197FF"/>
        <bgColor rgb="FFC197FF"/>
      </patternFill>
    </fill>
    <fill>
      <patternFill patternType="solid">
        <fgColor rgb="FFFFE599"/>
        <bgColor rgb="FFFFE599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2" fillId="2" fontId="2" numFmtId="0" xfId="0" applyAlignment="1" applyBorder="1" applyFont="1">
      <alignment horizontal="center" readingOrder="0" shrinkToFit="0" vertical="center" wrapText="1"/>
    </xf>
    <xf borderId="3" fillId="0" fontId="3" numFmtId="0" xfId="0" applyBorder="1" applyFont="1"/>
    <xf borderId="2" fillId="2" fontId="1" numFmtId="0" xfId="0" applyAlignment="1" applyBorder="1" applyFont="1">
      <alignment horizontal="center" readingOrder="0" shrinkToFit="0" vertical="center" wrapText="1"/>
    </xf>
    <xf borderId="4" fillId="0" fontId="3" numFmtId="0" xfId="0" applyBorder="1" applyFont="1"/>
    <xf borderId="0" fillId="0" fontId="1" numFmtId="0" xfId="0" applyAlignment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1" fillId="2" fontId="1" numFmtId="0" xfId="0" applyAlignment="1" applyBorder="1" applyFont="1">
      <alignment horizontal="center" readingOrder="0" shrinkToFit="0" vertical="center" wrapText="1"/>
    </xf>
    <xf borderId="1" fillId="3" fontId="1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0" fontId="1" numFmtId="2" xfId="0" applyAlignment="1" applyBorder="1" applyFont="1" applyNumberFormat="1">
      <alignment horizontal="center" shrinkToFit="0" vertical="center" wrapText="1"/>
    </xf>
    <xf borderId="1" fillId="0" fontId="1" numFmtId="0" xfId="0" applyAlignment="1" applyBorder="1" applyFont="1">
      <alignment horizontal="center" readingOrder="0" shrinkToFit="0" vertical="center" wrapText="1"/>
    </xf>
    <xf borderId="1" fillId="2" fontId="5" numFmtId="0" xfId="0" applyAlignment="1" applyBorder="1" applyFont="1">
      <alignment horizontal="center" readingOrder="0" shrinkToFit="0" wrapText="1"/>
    </xf>
    <xf borderId="1" fillId="0" fontId="6" numFmtId="0" xfId="0" applyAlignment="1" applyBorder="1" applyFont="1">
      <alignment horizontal="center" readingOrder="0" shrinkToFit="0" vertical="center" wrapText="1"/>
    </xf>
    <xf borderId="1" fillId="0" fontId="1" numFmtId="2" xfId="0" applyAlignment="1" applyBorder="1" applyFont="1" applyNumberForma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shrinkToFit="0" wrapText="1"/>
    </xf>
    <xf borderId="1" fillId="0" fontId="5" numFmtId="2" xfId="0" applyAlignment="1" applyBorder="1" applyFont="1" applyNumberFormat="1">
      <alignment horizontal="center" readingOrder="0" shrinkToFit="0" wrapText="1"/>
    </xf>
    <xf borderId="5" fillId="2" fontId="2" numFmtId="0" xfId="0" applyAlignment="1" applyBorder="1" applyFont="1">
      <alignment horizontal="center" readingOrder="0" shrinkToFit="0" vertical="center" wrapText="1"/>
    </xf>
    <xf borderId="1" fillId="0" fontId="7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6" fillId="0" fontId="3" numFmtId="0" xfId="0" applyBorder="1" applyFont="1"/>
    <xf borderId="0" fillId="0" fontId="1" numFmtId="0" xfId="0" applyAlignment="1" applyFont="1">
      <alignment horizontal="center" shrinkToFit="0" wrapText="1"/>
    </xf>
    <xf borderId="0" fillId="0" fontId="8" numFmtId="0" xfId="0" applyAlignment="1" applyFont="1">
      <alignment horizontal="center" readingOrder="0" shrinkToFit="0" wrapText="1"/>
    </xf>
    <xf borderId="2" fillId="0" fontId="5" numFmtId="0" xfId="0" applyAlignment="1" applyBorder="1" applyFont="1">
      <alignment horizontal="center" readingOrder="0" shrinkToFit="0" wrapText="1"/>
    </xf>
    <xf borderId="7" fillId="0" fontId="4" numFmtId="0" xfId="0" applyAlignment="1" applyBorder="1" applyFont="1">
      <alignment horizontal="center" readingOrder="0" shrinkToFit="0" vertical="center" wrapText="1"/>
    </xf>
    <xf borderId="8" fillId="0" fontId="3" numFmtId="0" xfId="0" applyBorder="1" applyFont="1"/>
    <xf borderId="2" fillId="0" fontId="1" numFmtId="0" xfId="0" applyAlignment="1" applyBorder="1" applyFont="1">
      <alignment horizontal="center" readingOrder="0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9" fillId="0" fontId="2" numFmtId="0" xfId="0" applyAlignment="1" applyBorder="1" applyFont="1">
      <alignment horizontal="center" readingOrder="0" shrinkToFit="0" vertical="center" wrapText="1"/>
    </xf>
    <xf borderId="9" fillId="0" fontId="4" numFmtId="0" xfId="0" applyAlignment="1" applyBorder="1" applyFont="1">
      <alignment horizontal="center" readingOrder="0" shrinkToFit="0" vertical="center" wrapText="1"/>
    </xf>
    <xf borderId="5" fillId="2" fontId="1" numFmtId="0" xfId="0" applyAlignment="1" applyBorder="1" applyFont="1">
      <alignment horizontal="center" readingOrder="0" shrinkToFit="0" vertical="center" wrapText="1"/>
    </xf>
    <xf borderId="5" fillId="0" fontId="1" numFmtId="0" xfId="0" applyAlignment="1" applyBorder="1" applyFont="1">
      <alignment horizontal="center" readingOrder="0" shrinkToFit="0" vertical="center" wrapText="1"/>
    </xf>
    <xf borderId="5" fillId="0" fontId="1" numFmtId="2" xfId="0" applyAlignment="1" applyBorder="1" applyFont="1" applyNumberFormat="1">
      <alignment horizontal="center" shrinkToFit="0" vertical="center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0" fontId="1" numFmtId="2" xfId="0" applyAlignment="1" applyBorder="1" applyFont="1" applyNumberFormat="1">
      <alignment horizontal="center" shrinkToFit="0" vertical="center" wrapText="1"/>
    </xf>
    <xf borderId="2" fillId="0" fontId="1" numFmtId="2" xfId="0" applyAlignment="1" applyBorder="1" applyFont="1" applyNumberFormat="1">
      <alignment horizontal="center" shrinkToFit="0" vertical="center" wrapText="1"/>
    </xf>
    <xf borderId="10" fillId="0" fontId="3" numFmtId="0" xfId="0" applyBorder="1" applyFont="1"/>
    <xf borderId="1" fillId="0" fontId="1" numFmtId="0" xfId="0" applyAlignment="1" applyBorder="1" applyFont="1">
      <alignment horizontal="center" shrinkToFit="0" vertical="center" wrapText="1"/>
    </xf>
    <xf borderId="2" fillId="2" fontId="1" numFmtId="0" xfId="0" applyAlignment="1" applyBorder="1" applyFont="1">
      <alignment horizontal="center" readingOrder="0" shrinkToFit="0" wrapText="1"/>
    </xf>
    <xf borderId="1" fillId="2" fontId="1" numFmtId="0" xfId="0" applyAlignment="1" applyBorder="1" applyFont="1">
      <alignment horizontal="center" readingOrder="0" shrinkToFit="0" wrapText="1"/>
    </xf>
    <xf borderId="9" fillId="0" fontId="1" numFmtId="0" xfId="0" applyAlignment="1" applyBorder="1" applyFont="1">
      <alignment horizontal="center" readingOrder="0" shrinkToFit="0" vertical="center" wrapText="1"/>
    </xf>
    <xf borderId="9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shrinkToFit="0" vertical="center" wrapText="1"/>
    </xf>
    <xf borderId="0" fillId="4" fontId="1" numFmtId="0" xfId="0" applyAlignment="1" applyFill="1" applyFont="1">
      <alignment horizontal="center" readingOrder="0" shrinkToFit="0" vertical="center" wrapText="1"/>
    </xf>
    <xf borderId="7" fillId="2" fontId="1" numFmtId="0" xfId="0" applyAlignment="1" applyBorder="1" applyFont="1">
      <alignment horizontal="center" readingOrder="0" shrinkToFit="0" vertical="center" wrapText="1"/>
    </xf>
    <xf borderId="9" fillId="0" fontId="3" numFmtId="0" xfId="0" applyBorder="1" applyFont="1"/>
    <xf borderId="0" fillId="2" fontId="1" numFmtId="0" xfId="0" applyAlignment="1" applyFont="1">
      <alignment horizontal="center" readingOrder="0" shrinkToFit="0" vertical="center" wrapText="1"/>
    </xf>
    <xf borderId="7" fillId="3" fontId="1" numFmtId="0" xfId="0" applyAlignment="1" applyBorder="1" applyFont="1">
      <alignment horizontal="center" readingOrder="0" shrinkToFit="0" vertical="center" wrapText="1"/>
    </xf>
    <xf borderId="9" fillId="3" fontId="1" numFmtId="0" xfId="0" applyAlignment="1" applyBorder="1" applyFont="1">
      <alignment horizontal="center" readingOrder="0" shrinkToFit="0" vertical="center" wrapText="1"/>
    </xf>
    <xf borderId="8" fillId="3" fontId="1" numFmtId="0" xfId="0" applyAlignment="1" applyBorder="1" applyFont="1">
      <alignment horizontal="center" readingOrder="0" shrinkToFit="0" vertical="center" wrapText="1"/>
    </xf>
    <xf borderId="7" fillId="0" fontId="1" numFmtId="0" xfId="0" applyAlignment="1" applyBorder="1" applyFont="1">
      <alignment horizontal="center" readingOrder="0" shrinkToFit="0" vertical="center" wrapText="1"/>
    </xf>
    <xf borderId="9" fillId="0" fontId="1" numFmtId="2" xfId="0" applyAlignment="1" applyBorder="1" applyFont="1" applyNumberFormat="1">
      <alignment horizontal="center" readingOrder="0" shrinkToFit="0" vertical="center" wrapText="1"/>
    </xf>
    <xf borderId="8" fillId="0" fontId="1" numFmtId="0" xfId="0" applyAlignment="1" applyBorder="1" applyFont="1">
      <alignment horizontal="center" readingOrder="0" shrinkToFit="0" vertical="center" wrapText="1"/>
    </xf>
    <xf borderId="5" fillId="5" fontId="1" numFmtId="2" xfId="0" applyAlignment="1" applyBorder="1" applyFill="1" applyFont="1" applyNumberFormat="1">
      <alignment horizontal="center" readingOrder="0" shrinkToFit="0" vertical="center" wrapText="1"/>
    </xf>
    <xf borderId="5" fillId="6" fontId="1" numFmtId="2" xfId="0" applyAlignment="1" applyBorder="1" applyFill="1" applyFont="1" applyNumberFormat="1">
      <alignment horizontal="center" readingOrder="0" shrinkToFit="0" vertical="center" wrapText="1"/>
    </xf>
    <xf borderId="5" fillId="6" fontId="1" numFmtId="0" xfId="0" applyAlignment="1" applyBorder="1" applyFont="1">
      <alignment horizontal="center" readingOrder="0" shrinkToFit="0" vertical="center" wrapText="1"/>
    </xf>
    <xf borderId="11" fillId="0" fontId="3" numFmtId="0" xfId="0" applyBorder="1" applyFont="1"/>
    <xf borderId="12" fillId="0" fontId="3" numFmtId="0" xfId="0" applyBorder="1" applyFont="1"/>
    <xf borderId="6" fillId="6" fontId="1" numFmtId="2" xfId="0" applyAlignment="1" applyBorder="1" applyFont="1" applyNumberFormat="1">
      <alignment horizontal="center" readingOrder="0" shrinkToFit="0" vertical="center" wrapText="1"/>
    </xf>
    <xf borderId="6" fillId="6" fontId="9" numFmtId="0" xfId="0" applyAlignment="1" applyBorder="1" applyFont="1">
      <alignment horizontal="center" readingOrder="0" shrinkToFit="0" wrapText="1"/>
    </xf>
    <xf borderId="11" fillId="0" fontId="1" numFmtId="0" xfId="0" applyAlignment="1" applyBorder="1" applyFont="1">
      <alignment horizontal="center" readingOrder="0" shrinkToFit="0" vertical="center" wrapText="1"/>
    </xf>
    <xf borderId="12" fillId="0" fontId="1" numFmtId="0" xfId="0" applyAlignment="1" applyBorder="1" applyFont="1">
      <alignment horizontal="center" readingOrder="0" shrinkToFit="0" vertical="center" wrapText="1"/>
    </xf>
    <xf borderId="11" fillId="0" fontId="1" numFmtId="2" xfId="0" applyAlignment="1" applyBorder="1" applyFont="1" applyNumberFormat="1">
      <alignment horizontal="center" shrinkToFit="0" vertical="center" wrapText="1"/>
    </xf>
    <xf borderId="0" fillId="0" fontId="1" numFmtId="2" xfId="0" applyAlignment="1" applyFont="1" applyNumberFormat="1">
      <alignment horizontal="center" readingOrder="0" shrinkToFit="0" vertical="center" wrapText="1"/>
    </xf>
    <xf borderId="13" fillId="0" fontId="3" numFmtId="0" xfId="0" applyBorder="1" applyFont="1"/>
    <xf borderId="14" fillId="0" fontId="3" numFmtId="0" xfId="0" applyBorder="1" applyFont="1"/>
    <xf borderId="15" fillId="0" fontId="3" numFmtId="0" xfId="0" applyBorder="1" applyFont="1"/>
    <xf borderId="0" fillId="0" fontId="10" numFmtId="0" xfId="0" applyAlignment="1" applyFont="1">
      <alignment horizontal="center" shrinkToFit="0" wrapText="1"/>
    </xf>
    <xf borderId="0" fillId="0" fontId="10" numFmtId="0" xfId="0" applyAlignment="1" applyFont="1">
      <alignment horizontal="center" readingOrder="0" shrinkToFit="0" wrapText="1"/>
    </xf>
    <xf borderId="7" fillId="0" fontId="1" numFmtId="2" xfId="0" applyAlignment="1" applyBorder="1" applyFont="1" applyNumberFormat="1">
      <alignment horizontal="center" readingOrder="0" shrinkToFit="0" vertical="center" wrapText="1"/>
    </xf>
    <xf borderId="7" fillId="6" fontId="1" numFmtId="0" xfId="0" applyAlignment="1" applyBorder="1" applyFont="1">
      <alignment horizontal="center" readingOrder="0" shrinkToFit="0" vertical="center" wrapText="1"/>
    </xf>
    <xf borderId="8" fillId="6" fontId="1" numFmtId="0" xfId="0" applyAlignment="1" applyBorder="1" applyFont="1">
      <alignment horizontal="center" readingOrder="0" shrinkToFit="0" vertical="center" wrapText="1"/>
    </xf>
    <xf borderId="11" fillId="7" fontId="1" numFmtId="0" xfId="0" applyAlignment="1" applyBorder="1" applyFill="1" applyFont="1">
      <alignment horizontal="center" readingOrder="0" shrinkToFit="0" vertical="center" wrapText="1"/>
    </xf>
    <xf borderId="12" fillId="7" fontId="1" numFmtId="0" xfId="0" applyAlignment="1" applyBorder="1" applyFont="1">
      <alignment horizontal="center" readingOrder="0" shrinkToFit="0" vertical="center" wrapText="1"/>
    </xf>
    <xf borderId="0" fillId="0" fontId="1" numFmtId="2" xfId="0" applyAlignment="1" applyFont="1" applyNumberFormat="1">
      <alignment horizontal="center" shrinkToFit="0" vertical="center" wrapText="1"/>
    </xf>
    <xf borderId="11" fillId="6" fontId="1" numFmtId="0" xfId="0" applyAlignment="1" applyBorder="1" applyFont="1">
      <alignment horizontal="center" readingOrder="0" shrinkToFit="0" vertical="center" wrapText="1"/>
    </xf>
    <xf borderId="0" fillId="6" fontId="1" numFmtId="0" xfId="0" applyAlignment="1" applyFont="1">
      <alignment horizontal="center" readingOrder="0" shrinkToFit="0" vertical="center" wrapText="1"/>
    </xf>
    <xf borderId="0" fillId="7" fontId="1" numFmtId="0" xfId="0" applyAlignment="1" applyFont="1">
      <alignment horizontal="center" readingOrder="0" shrinkToFit="0" vertical="center" wrapText="1"/>
    </xf>
    <xf borderId="12" fillId="6" fontId="1" numFmtId="0" xfId="0" applyAlignment="1" applyBorder="1" applyFont="1">
      <alignment horizontal="center" readingOrder="0" shrinkToFit="0" vertical="center" wrapText="1"/>
    </xf>
    <xf borderId="13" fillId="7" fontId="1" numFmtId="0" xfId="0" applyAlignment="1" applyBorder="1" applyFont="1">
      <alignment horizontal="center" readingOrder="0" shrinkToFit="0" vertical="center" wrapText="1"/>
    </xf>
    <xf borderId="14" fillId="7" fontId="1" numFmtId="0" xfId="0" applyAlignment="1" applyBorder="1" applyFont="1">
      <alignment horizontal="center" readingOrder="0" shrinkToFit="0" vertical="center" wrapText="1"/>
    </xf>
    <xf borderId="0" fillId="8" fontId="1" numFmtId="0" xfId="0" applyAlignment="1" applyFill="1" applyFont="1">
      <alignment horizontal="center" readingOrder="0" shrinkToFit="0" vertical="center" wrapText="1"/>
    </xf>
    <xf borderId="0" fillId="8" fontId="1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1">
    <dxf>
      <font/>
      <fill>
        <patternFill patternType="solid">
          <fgColor rgb="FFFFE599"/>
          <bgColor rgb="FFFFE5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228600</xdr:colOff>
      <xdr:row>84</xdr:row>
      <xdr:rowOff>28575</xdr:rowOff>
    </xdr:from>
    <xdr:ext cx="12734925" cy="1857375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152400</xdr:colOff>
      <xdr:row>85</xdr:row>
      <xdr:rowOff>19050</xdr:rowOff>
    </xdr:from>
    <xdr:ext cx="7934325" cy="11087100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609600</xdr:colOff>
      <xdr:row>60</xdr:row>
      <xdr:rowOff>114300</xdr:rowOff>
    </xdr:from>
    <xdr:ext cx="3438525" cy="2314575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ecivilufes.wordpress.com/wp-content/uploads/2013/06/nbr-10844-1989-instalac3a7c3b5es-prediais-de-c3a1guas-pluviais.pdf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3.25"/>
    <col customWidth="1" min="3" max="4" width="12.63"/>
    <col customWidth="1" min="10" max="10" width="16.63"/>
    <col customWidth="1" min="11" max="11" width="16.0"/>
    <col customWidth="1" min="13" max="13" width="15.38"/>
    <col customWidth="1" min="14" max="14" width="20.5"/>
    <col customWidth="1" min="15" max="15" width="29.38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>
      <c r="A2" s="1"/>
      <c r="B2" s="2" t="s">
        <v>0</v>
      </c>
      <c r="C2" s="3" t="s">
        <v>1</v>
      </c>
      <c r="D2" s="4"/>
      <c r="E2" s="1"/>
      <c r="F2" s="5" t="s">
        <v>2</v>
      </c>
      <c r="G2" s="6"/>
      <c r="H2" s="6"/>
      <c r="I2" s="6"/>
      <c r="J2" s="6"/>
      <c r="K2" s="6"/>
      <c r="L2" s="4"/>
      <c r="M2" s="1"/>
      <c r="N2" s="5" t="s">
        <v>3</v>
      </c>
      <c r="O2" s="6"/>
      <c r="P2" s="6"/>
      <c r="Q2" s="4"/>
      <c r="R2" s="7"/>
      <c r="S2" s="7"/>
      <c r="T2" s="7"/>
      <c r="U2" s="1"/>
      <c r="V2" s="1"/>
      <c r="W2" s="1"/>
      <c r="X2" s="1"/>
    </row>
    <row r="3">
      <c r="A3" s="1"/>
      <c r="B3" s="2" t="s">
        <v>4</v>
      </c>
      <c r="C3" s="8" t="s">
        <v>5</v>
      </c>
      <c r="D3" s="4"/>
      <c r="E3" s="1"/>
      <c r="F3" s="9" t="s">
        <v>6</v>
      </c>
      <c r="G3" s="10" t="s">
        <v>7</v>
      </c>
      <c r="H3" s="10" t="s">
        <v>8</v>
      </c>
      <c r="I3" s="10" t="s">
        <v>9</v>
      </c>
      <c r="J3" s="10" t="s">
        <v>10</v>
      </c>
      <c r="K3" s="10" t="s">
        <v>11</v>
      </c>
      <c r="L3" s="10" t="s">
        <v>12</v>
      </c>
      <c r="M3" s="1"/>
      <c r="N3" s="9" t="s">
        <v>13</v>
      </c>
      <c r="O3" s="11" t="s">
        <v>14</v>
      </c>
      <c r="P3" s="12">
        <f>K4+K5+K6+K10+K11+K15+K16+K20+K24+K25+K29+K34+K35+K39+K40+5096</f>
        <v>5909.088154</v>
      </c>
      <c r="Q3" s="13" t="s">
        <v>15</v>
      </c>
      <c r="R3" s="1"/>
      <c r="S3" s="1"/>
      <c r="T3" s="1"/>
      <c r="U3" s="1"/>
      <c r="V3" s="1"/>
      <c r="W3" s="1"/>
      <c r="X3" s="1"/>
    </row>
    <row r="4">
      <c r="A4" s="1"/>
      <c r="B4" s="2" t="s">
        <v>16</v>
      </c>
      <c r="C4" s="8" t="s">
        <v>17</v>
      </c>
      <c r="D4" s="4"/>
      <c r="E4" s="1"/>
      <c r="F4" s="9" t="s">
        <v>18</v>
      </c>
      <c r="G4" s="13">
        <v>5.75</v>
      </c>
      <c r="H4" s="13">
        <v>2.75</v>
      </c>
      <c r="I4" s="13">
        <v>0.28</v>
      </c>
      <c r="J4" s="13" t="s">
        <v>19</v>
      </c>
      <c r="K4" s="12">
        <f>G4*H4+(SQRT((G4*I4)^2+(H4*I4)^2))/2</f>
        <v>16.70482841</v>
      </c>
      <c r="L4" s="12">
        <f t="shared" ref="L4:L6" si="1">($D$15*(K4) / 60)</f>
        <v>33.40965683</v>
      </c>
      <c r="M4" s="1"/>
      <c r="N4" s="14" t="s">
        <v>20</v>
      </c>
      <c r="O4" s="13" t="s">
        <v>21</v>
      </c>
      <c r="P4" s="12">
        <f>P3 *D15 * (10/60) / 1000</f>
        <v>118.1817631</v>
      </c>
      <c r="Q4" s="15" t="s">
        <v>22</v>
      </c>
      <c r="R4" s="1"/>
      <c r="S4" s="1"/>
      <c r="T4" s="1"/>
      <c r="U4" s="1"/>
      <c r="V4" s="1"/>
      <c r="W4" s="1"/>
      <c r="X4" s="1"/>
    </row>
    <row r="5">
      <c r="A5" s="1"/>
      <c r="B5" s="2" t="s">
        <v>23</v>
      </c>
      <c r="C5" s="8" t="s">
        <v>24</v>
      </c>
      <c r="D5" s="4"/>
      <c r="E5" s="1"/>
      <c r="F5" s="9" t="s">
        <v>25</v>
      </c>
      <c r="G5" s="13">
        <v>6.5</v>
      </c>
      <c r="H5" s="13">
        <v>2.75</v>
      </c>
      <c r="I5" s="13">
        <v>1.1</v>
      </c>
      <c r="J5" s="13" t="s">
        <v>26</v>
      </c>
      <c r="K5" s="12">
        <f>((G5+I5/2)*H5)+(H5*I5)/2</f>
        <v>20.9</v>
      </c>
      <c r="L5" s="12">
        <f t="shared" si="1"/>
        <v>41.8</v>
      </c>
      <c r="M5" s="1"/>
      <c r="N5" s="14" t="s">
        <v>27</v>
      </c>
      <c r="O5" s="13" t="s">
        <v>28</v>
      </c>
      <c r="P5" s="16">
        <f>3* ((PI() * 4^2 / 4) * 3)</f>
        <v>113.0973355</v>
      </c>
      <c r="Q5" s="15" t="s">
        <v>22</v>
      </c>
      <c r="R5" s="1"/>
      <c r="S5" s="1"/>
      <c r="T5" s="1"/>
      <c r="U5" s="1"/>
      <c r="V5" s="1"/>
      <c r="W5" s="1"/>
      <c r="X5" s="1"/>
    </row>
    <row r="6">
      <c r="A6" s="1"/>
      <c r="B6" s="2" t="s">
        <v>29</v>
      </c>
      <c r="C6" s="8" t="s">
        <v>30</v>
      </c>
      <c r="D6" s="4"/>
      <c r="E6" s="1"/>
      <c r="F6" s="9" t="s">
        <v>31</v>
      </c>
      <c r="G6" s="13">
        <v>2.15</v>
      </c>
      <c r="H6" s="13">
        <v>2.75</v>
      </c>
      <c r="I6" s="13">
        <v>0.73</v>
      </c>
      <c r="J6" s="13" t="s">
        <v>19</v>
      </c>
      <c r="K6" s="12">
        <f>G6*H6+(SQRT((G6*I6)^2+(H6*I6)^2))/2</f>
        <v>7.186606206</v>
      </c>
      <c r="L6" s="12">
        <f t="shared" si="1"/>
        <v>14.37321241</v>
      </c>
      <c r="M6" s="1"/>
      <c r="N6" s="14" t="s">
        <v>32</v>
      </c>
      <c r="O6" s="13" t="s">
        <v>33</v>
      </c>
      <c r="P6" s="12">
        <f>MAX(0, P4-P5)</f>
        <v>5.084427559</v>
      </c>
      <c r="Q6" s="15" t="s">
        <v>22</v>
      </c>
      <c r="R6" s="1"/>
      <c r="S6" s="1"/>
      <c r="T6" s="1"/>
      <c r="U6" s="1"/>
      <c r="V6" s="1"/>
      <c r="W6" s="1"/>
      <c r="X6" s="1"/>
    </row>
    <row r="7">
      <c r="A7" s="1"/>
      <c r="B7" s="2" t="s">
        <v>34</v>
      </c>
      <c r="C7" s="8" t="s">
        <v>30</v>
      </c>
      <c r="D7" s="4"/>
      <c r="E7" s="1"/>
      <c r="F7" s="1"/>
      <c r="G7" s="1"/>
      <c r="H7" s="1"/>
      <c r="I7" s="1"/>
      <c r="J7" s="1"/>
      <c r="K7" s="1"/>
      <c r="L7" s="1"/>
      <c r="M7" s="1"/>
      <c r="N7" s="14" t="s">
        <v>35</v>
      </c>
      <c r="O7" s="17" t="s">
        <v>36</v>
      </c>
      <c r="P7" s="18">
        <f>P6*1000/70</f>
        <v>72.63467941</v>
      </c>
      <c r="Q7" s="13" t="s">
        <v>15</v>
      </c>
      <c r="R7" s="1"/>
      <c r="S7" s="1"/>
      <c r="T7" s="1"/>
      <c r="U7" s="1"/>
      <c r="V7" s="1"/>
      <c r="W7" s="1"/>
      <c r="X7" s="1"/>
    </row>
    <row r="8">
      <c r="A8" s="1"/>
      <c r="B8" s="19" t="s">
        <v>37</v>
      </c>
      <c r="C8" s="20" t="s">
        <v>38</v>
      </c>
      <c r="D8" s="21" t="s">
        <v>39</v>
      </c>
      <c r="E8" s="1"/>
      <c r="F8" s="5" t="s">
        <v>40</v>
      </c>
      <c r="G8" s="6"/>
      <c r="H8" s="6"/>
      <c r="I8" s="6"/>
      <c r="J8" s="6"/>
      <c r="K8" s="6"/>
      <c r="L8" s="4"/>
      <c r="M8" s="1"/>
      <c r="N8" s="14" t="s">
        <v>41</v>
      </c>
      <c r="O8" s="17" t="s">
        <v>42</v>
      </c>
      <c r="P8" s="18">
        <f>3 * (PI() * 4 * 3 + (PI() * (4^2) / 4))</f>
        <v>150.7964474</v>
      </c>
      <c r="Q8" s="13" t="s">
        <v>15</v>
      </c>
      <c r="R8" s="1"/>
      <c r="S8" s="1"/>
      <c r="T8" s="1"/>
      <c r="U8" s="1"/>
      <c r="V8" s="1"/>
      <c r="W8" s="1"/>
      <c r="X8" s="1"/>
    </row>
    <row r="9">
      <c r="A9" s="1"/>
      <c r="B9" s="22"/>
      <c r="C9" s="21" t="s">
        <v>43</v>
      </c>
      <c r="D9" s="21" t="s">
        <v>44</v>
      </c>
      <c r="E9" s="1"/>
      <c r="F9" s="9" t="s">
        <v>6</v>
      </c>
      <c r="G9" s="10" t="s">
        <v>7</v>
      </c>
      <c r="H9" s="10" t="s">
        <v>8</v>
      </c>
      <c r="I9" s="10" t="s">
        <v>9</v>
      </c>
      <c r="J9" s="10" t="s">
        <v>10</v>
      </c>
      <c r="K9" s="10" t="s">
        <v>11</v>
      </c>
      <c r="L9" s="10" t="s">
        <v>12</v>
      </c>
      <c r="M9" s="1"/>
      <c r="N9" s="23"/>
      <c r="O9" s="23"/>
      <c r="P9" s="23"/>
      <c r="Q9" s="24"/>
      <c r="R9" s="1"/>
      <c r="S9" s="1"/>
      <c r="T9" s="1"/>
      <c r="U9" s="1"/>
      <c r="V9" s="1"/>
      <c r="W9" s="1"/>
      <c r="X9" s="1"/>
    </row>
    <row r="10">
      <c r="A10" s="1"/>
      <c r="B10" s="2" t="s">
        <v>45</v>
      </c>
      <c r="C10" s="8" t="s">
        <v>46</v>
      </c>
      <c r="D10" s="4"/>
      <c r="E10" s="1"/>
      <c r="F10" s="9" t="s">
        <v>18</v>
      </c>
      <c r="G10" s="13">
        <v>19.0</v>
      </c>
      <c r="H10" s="13">
        <v>6.85</v>
      </c>
      <c r="I10" s="13">
        <v>1.09</v>
      </c>
      <c r="J10" s="13" t="s">
        <v>19</v>
      </c>
      <c r="K10" s="12">
        <f t="shared" ref="K10:K11" si="2">G10*H10+(SQRT((G10*I10)^2+(H10*I10)^2))/2</f>
        <v>141.1574148</v>
      </c>
      <c r="L10" s="12">
        <f t="shared" ref="L10:L11" si="3">($D$15*(K10) / 60)</f>
        <v>282.3148296</v>
      </c>
      <c r="M10" s="1"/>
      <c r="N10" s="14" t="s">
        <v>47</v>
      </c>
      <c r="O10" s="17">
        <v>4.0</v>
      </c>
      <c r="P10" s="25" t="s">
        <v>48</v>
      </c>
      <c r="Q10" s="4"/>
      <c r="R10" s="1"/>
      <c r="S10" s="1"/>
      <c r="T10" s="1"/>
      <c r="U10" s="1"/>
      <c r="V10" s="1"/>
      <c r="W10" s="1"/>
      <c r="X10" s="1"/>
    </row>
    <row r="11">
      <c r="A11" s="1"/>
      <c r="B11" s="2" t="s">
        <v>49</v>
      </c>
      <c r="C11" s="8" t="s">
        <v>30</v>
      </c>
      <c r="D11" s="4"/>
      <c r="E11" s="1"/>
      <c r="F11" s="9" t="s">
        <v>25</v>
      </c>
      <c r="G11" s="13">
        <v>4.0</v>
      </c>
      <c r="H11" s="13">
        <v>3.5</v>
      </c>
      <c r="I11" s="13">
        <v>1.09</v>
      </c>
      <c r="J11" s="13" t="s">
        <v>19</v>
      </c>
      <c r="K11" s="12">
        <f t="shared" si="2"/>
        <v>16.89671473</v>
      </c>
      <c r="L11" s="12">
        <f t="shared" si="3"/>
        <v>33.79342947</v>
      </c>
      <c r="M11" s="1"/>
      <c r="N11" s="14" t="s">
        <v>50</v>
      </c>
      <c r="O11" s="17">
        <v>3.0</v>
      </c>
      <c r="P11" s="25" t="s">
        <v>48</v>
      </c>
      <c r="Q11" s="4"/>
      <c r="R11" s="1"/>
      <c r="S11" s="1"/>
      <c r="T11" s="1"/>
      <c r="U11" s="1"/>
      <c r="V11" s="1"/>
      <c r="W11" s="1"/>
      <c r="X11" s="1"/>
    </row>
    <row r="12">
      <c r="A12" s="1"/>
      <c r="B12" s="19" t="s">
        <v>51</v>
      </c>
      <c r="C12" s="26" t="s">
        <v>30</v>
      </c>
      <c r="D12" s="27"/>
      <c r="E12" s="1"/>
      <c r="F12" s="1"/>
      <c r="G12" s="1"/>
      <c r="H12" s="1"/>
      <c r="I12" s="1"/>
      <c r="J12" s="1"/>
      <c r="K12" s="1"/>
      <c r="L12" s="1"/>
      <c r="M12" s="1"/>
      <c r="N12" s="9" t="s">
        <v>52</v>
      </c>
      <c r="O12" s="28">
        <v>3.0</v>
      </c>
      <c r="P12" s="29"/>
      <c r="Q12" s="4"/>
      <c r="R12" s="1"/>
      <c r="S12" s="1"/>
      <c r="T12" s="1"/>
      <c r="U12" s="1"/>
      <c r="V12" s="1"/>
      <c r="W12" s="1"/>
      <c r="X12" s="1"/>
    </row>
    <row r="13">
      <c r="A13" s="1"/>
      <c r="B13" s="30"/>
      <c r="C13" s="31"/>
      <c r="D13" s="31"/>
      <c r="E13" s="1"/>
      <c r="F13" s="5" t="s">
        <v>53</v>
      </c>
      <c r="G13" s="6"/>
      <c r="H13" s="6"/>
      <c r="I13" s="6"/>
      <c r="J13" s="6"/>
      <c r="K13" s="6"/>
      <c r="L13" s="4"/>
      <c r="M13" s="1"/>
      <c r="R13" s="1"/>
      <c r="S13" s="1"/>
      <c r="T13" s="1"/>
      <c r="U13" s="1"/>
      <c r="V13" s="1"/>
      <c r="W13" s="1"/>
      <c r="X13" s="1"/>
    </row>
    <row r="14">
      <c r="A14" s="1"/>
      <c r="B14" s="9" t="s">
        <v>54</v>
      </c>
      <c r="C14" s="28" t="s">
        <v>55</v>
      </c>
      <c r="D14" s="4"/>
      <c r="E14" s="1"/>
      <c r="F14" s="9" t="s">
        <v>6</v>
      </c>
      <c r="G14" s="10" t="s">
        <v>7</v>
      </c>
      <c r="H14" s="10" t="s">
        <v>8</v>
      </c>
      <c r="I14" s="10" t="s">
        <v>9</v>
      </c>
      <c r="J14" s="10" t="s">
        <v>10</v>
      </c>
      <c r="K14" s="10" t="s">
        <v>11</v>
      </c>
      <c r="L14" s="10" t="s">
        <v>12</v>
      </c>
      <c r="M14" s="1"/>
      <c r="R14" s="1"/>
      <c r="S14" s="1"/>
      <c r="T14" s="1"/>
      <c r="U14" s="1"/>
      <c r="V14" s="1"/>
      <c r="W14" s="1"/>
      <c r="X14" s="1"/>
    </row>
    <row r="15">
      <c r="A15" s="1"/>
      <c r="B15" s="9" t="s">
        <v>56</v>
      </c>
      <c r="C15" s="13" t="s">
        <v>57</v>
      </c>
      <c r="D15" s="13">
        <v>120.0</v>
      </c>
      <c r="E15" s="1"/>
      <c r="F15" s="9" t="s">
        <v>18</v>
      </c>
      <c r="G15" s="13">
        <v>3.25</v>
      </c>
      <c r="H15" s="13">
        <v>3.9</v>
      </c>
      <c r="I15" s="13">
        <v>0.93</v>
      </c>
      <c r="J15" s="13" t="s">
        <v>19</v>
      </c>
      <c r="K15" s="12">
        <f>G15*H15+(SQRT((G15*I15)^2+(H15*I15)^2))/2</f>
        <v>15.03564796</v>
      </c>
      <c r="L15" s="12">
        <f t="shared" ref="L15:L16" si="4">($D$15*(K15) / 60)</f>
        <v>30.07129593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>
      <c r="A16" s="1"/>
      <c r="B16" s="1"/>
      <c r="C16" s="1"/>
      <c r="D16" s="1"/>
      <c r="E16" s="1"/>
      <c r="F16" s="32" t="s">
        <v>25</v>
      </c>
      <c r="G16" s="33">
        <v>4.2</v>
      </c>
      <c r="H16" s="33">
        <v>5.6</v>
      </c>
      <c r="I16" s="33">
        <v>0.41</v>
      </c>
      <c r="J16" s="13" t="s">
        <v>58</v>
      </c>
      <c r="K16" s="34">
        <f>G16*H16+(H16*I16)/2</f>
        <v>24.668</v>
      </c>
      <c r="L16" s="34">
        <f t="shared" si="4"/>
        <v>49.336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>
      <c r="A17" s="1"/>
      <c r="B17" s="9" t="s">
        <v>7</v>
      </c>
      <c r="C17" s="13" t="s">
        <v>59</v>
      </c>
      <c r="D17" s="1"/>
      <c r="E17" s="1"/>
      <c r="F17" s="35"/>
      <c r="G17" s="35"/>
      <c r="H17" s="35"/>
      <c r="I17" s="35"/>
      <c r="J17" s="35"/>
      <c r="K17" s="36"/>
      <c r="L17" s="36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>
      <c r="A18" s="1"/>
      <c r="B18" s="9" t="s">
        <v>8</v>
      </c>
      <c r="C18" s="13" t="s">
        <v>60</v>
      </c>
      <c r="D18" s="1"/>
      <c r="E18" s="1"/>
      <c r="F18" s="5" t="s">
        <v>61</v>
      </c>
      <c r="G18" s="6"/>
      <c r="H18" s="6"/>
      <c r="I18" s="6"/>
      <c r="J18" s="6"/>
      <c r="K18" s="6"/>
      <c r="L18" s="4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>
      <c r="A19" s="1"/>
      <c r="B19" s="9" t="s">
        <v>62</v>
      </c>
      <c r="C19" s="13" t="s">
        <v>63</v>
      </c>
      <c r="D19" s="1"/>
      <c r="E19" s="1"/>
      <c r="F19" s="9" t="s">
        <v>6</v>
      </c>
      <c r="G19" s="10" t="s">
        <v>7</v>
      </c>
      <c r="H19" s="10" t="s">
        <v>8</v>
      </c>
      <c r="I19" s="10" t="s">
        <v>9</v>
      </c>
      <c r="J19" s="10" t="s">
        <v>10</v>
      </c>
      <c r="K19" s="10" t="s">
        <v>11</v>
      </c>
      <c r="L19" s="10" t="s">
        <v>12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>
      <c r="A20" s="1"/>
      <c r="B20" s="9" t="s">
        <v>64</v>
      </c>
      <c r="C20" s="13" t="s">
        <v>65</v>
      </c>
      <c r="D20" s="1"/>
      <c r="E20" s="1"/>
      <c r="F20" s="9" t="s">
        <v>18</v>
      </c>
      <c r="G20" s="13">
        <v>6.54</v>
      </c>
      <c r="H20" s="13">
        <v>7.72</v>
      </c>
      <c r="I20" s="13">
        <f t="shared" ref="I20:I23" si="5">7.08</f>
        <v>7.08</v>
      </c>
      <c r="J20" s="13" t="s">
        <v>66</v>
      </c>
      <c r="K20" s="12">
        <f>((G20+0.53/2)*H20)+((1.31+2.84)*I20)/2</f>
        <v>67.2256</v>
      </c>
      <c r="L20" s="12">
        <f>($D$15*(K20) / 60)</f>
        <v>134.4512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>
      <c r="A21" s="1"/>
      <c r="B21" s="1"/>
      <c r="C21" s="1"/>
      <c r="D21" s="1"/>
      <c r="E21" s="1"/>
      <c r="F21" s="32" t="s">
        <v>25</v>
      </c>
      <c r="G21" s="13">
        <v>6.54</v>
      </c>
      <c r="H21" s="13">
        <v>7.27</v>
      </c>
      <c r="I21" s="13">
        <f t="shared" si="5"/>
        <v>7.08</v>
      </c>
      <c r="J21" s="13" t="s">
        <v>66</v>
      </c>
      <c r="K21" s="37">
        <f>((G21+0.53/2)*H21)+(1.95*I21)/2</f>
        <v>56.37535</v>
      </c>
      <c r="L21" s="4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>
      <c r="A22" s="1"/>
      <c r="B22" s="28" t="s">
        <v>67</v>
      </c>
      <c r="C22" s="6"/>
      <c r="D22" s="4"/>
      <c r="E22" s="1"/>
      <c r="F22" s="38"/>
      <c r="G22" s="13">
        <v>16.59</v>
      </c>
      <c r="H22" s="13">
        <v>5.32</v>
      </c>
      <c r="I22" s="13">
        <f t="shared" si="5"/>
        <v>7.08</v>
      </c>
      <c r="J22" s="13" t="s">
        <v>66</v>
      </c>
      <c r="K22" s="37">
        <f>((G22+0.53/2)*H22)+((16.59-3.72)*I22)/2</f>
        <v>135.2284</v>
      </c>
      <c r="L22" s="4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>
      <c r="A23" s="1"/>
      <c r="B23" s="28" t="s">
        <v>68</v>
      </c>
      <c r="C23" s="6"/>
      <c r="D23" s="4"/>
      <c r="E23" s="7"/>
      <c r="F23" s="22"/>
      <c r="G23" s="13">
        <v>5.17</v>
      </c>
      <c r="H23" s="13">
        <v>2.17</v>
      </c>
      <c r="I23" s="13">
        <f t="shared" si="5"/>
        <v>7.08</v>
      </c>
      <c r="J23" s="13" t="s">
        <v>66</v>
      </c>
      <c r="K23" s="37">
        <f>((G23+0.53/2)*H23)+((1.45)*I23)/2</f>
        <v>16.92695</v>
      </c>
      <c r="L23" s="4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>
      <c r="A24" s="1"/>
      <c r="B24" s="28" t="s">
        <v>69</v>
      </c>
      <c r="C24" s="6"/>
      <c r="D24" s="4"/>
      <c r="E24" s="7"/>
      <c r="F24" s="5" t="s">
        <v>70</v>
      </c>
      <c r="G24" s="6"/>
      <c r="H24" s="6"/>
      <c r="I24" s="6"/>
      <c r="J24" s="4"/>
      <c r="K24" s="12">
        <f>SUM(K21:K23)</f>
        <v>208.5307</v>
      </c>
      <c r="L24" s="12">
        <f t="shared" ref="L24:L25" si="6">($D$15*(K24) / 60)</f>
        <v>417.0614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>
      <c r="A25" s="1"/>
      <c r="B25" s="23"/>
      <c r="C25" s="23"/>
      <c r="D25" s="23"/>
      <c r="E25" s="7"/>
      <c r="F25" s="9" t="s">
        <v>31</v>
      </c>
      <c r="G25" s="39">
        <f>5.57+4.26+6.63</f>
        <v>16.46</v>
      </c>
      <c r="H25" s="39">
        <f>3.29+4.06</f>
        <v>7.35</v>
      </c>
      <c r="I25" s="13">
        <f>7.08</f>
        <v>7.08</v>
      </c>
      <c r="J25" s="13" t="s">
        <v>58</v>
      </c>
      <c r="K25" s="12">
        <f>(G25*H25)+((3.87+6.04+1.45+1.45)*I25)/2</f>
        <v>166.3284</v>
      </c>
      <c r="L25" s="12">
        <f t="shared" si="6"/>
        <v>332.6568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>
      <c r="A26" s="1"/>
      <c r="B26" s="9" t="s">
        <v>71</v>
      </c>
      <c r="C26" s="13" t="s">
        <v>72</v>
      </c>
      <c r="D26" s="1"/>
      <c r="E26" s="7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>
      <c r="A27" s="1"/>
      <c r="B27" s="9" t="s">
        <v>73</v>
      </c>
      <c r="C27" s="13">
        <v>0.011</v>
      </c>
      <c r="D27" s="1"/>
      <c r="E27" s="7"/>
      <c r="F27" s="5" t="s">
        <v>74</v>
      </c>
      <c r="G27" s="6"/>
      <c r="H27" s="6"/>
      <c r="I27" s="6"/>
      <c r="J27" s="6"/>
      <c r="K27" s="6"/>
      <c r="L27" s="4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>
      <c r="A28" s="1"/>
      <c r="B28" s="23"/>
      <c r="C28" s="23"/>
      <c r="D28" s="1"/>
      <c r="E28" s="1"/>
      <c r="F28" s="9" t="s">
        <v>6</v>
      </c>
      <c r="G28" s="10" t="s">
        <v>7</v>
      </c>
      <c r="H28" s="10" t="s">
        <v>8</v>
      </c>
      <c r="I28" s="10" t="s">
        <v>9</v>
      </c>
      <c r="J28" s="10" t="s">
        <v>10</v>
      </c>
      <c r="K28" s="10" t="s">
        <v>11</v>
      </c>
      <c r="L28" s="10" t="s">
        <v>12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>
      <c r="A29" s="1"/>
      <c r="B29" s="40" t="s">
        <v>75</v>
      </c>
      <c r="C29" s="6"/>
      <c r="D29" s="4"/>
      <c r="E29" s="1"/>
      <c r="F29" s="32" t="s">
        <v>18</v>
      </c>
      <c r="G29" s="33">
        <v>11.51</v>
      </c>
      <c r="H29" s="33">
        <v>4.27</v>
      </c>
      <c r="I29" s="33">
        <v>3.0</v>
      </c>
      <c r="J29" s="13" t="s">
        <v>19</v>
      </c>
      <c r="K29" s="34">
        <f>G29*H29+(SQRT((G29*I29)^2+(H29*I29)^2))/2</f>
        <v>67.56248346</v>
      </c>
      <c r="L29" s="34">
        <f>($D$15*(K29) / 60)</f>
        <v>135.1249669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>
      <c r="A30" s="1"/>
      <c r="B30" s="41" t="s">
        <v>76</v>
      </c>
      <c r="C30" s="13">
        <v>5451.0</v>
      </c>
      <c r="D30" s="13" t="s">
        <v>15</v>
      </c>
      <c r="E30" s="1"/>
      <c r="F30" s="7"/>
      <c r="G30" s="7"/>
      <c r="H30" s="7"/>
      <c r="I30" s="7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>
      <c r="A31" s="1"/>
      <c r="B31" s="41" t="s">
        <v>77</v>
      </c>
      <c r="C31" s="39">
        <f>D15*5096/(60*60)</f>
        <v>169.8666667</v>
      </c>
      <c r="D31" s="13" t="s">
        <v>78</v>
      </c>
      <c r="E31" s="1"/>
      <c r="F31" s="42"/>
      <c r="G31" s="42"/>
      <c r="H31" s="42"/>
      <c r="I31" s="42"/>
      <c r="J31" s="43"/>
      <c r="K31" s="43"/>
      <c r="L31" s="43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>
      <c r="A32" s="1"/>
      <c r="B32" s="9" t="s">
        <v>79</v>
      </c>
      <c r="C32" s="44">
        <f>ROUNDUP(C31/50,0)</f>
        <v>4</v>
      </c>
      <c r="D32" s="4"/>
      <c r="E32" s="1"/>
      <c r="F32" s="5" t="s">
        <v>80</v>
      </c>
      <c r="G32" s="6"/>
      <c r="H32" s="6"/>
      <c r="I32" s="6"/>
      <c r="J32" s="6"/>
      <c r="K32" s="6"/>
      <c r="L32" s="4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>
      <c r="A33" s="1"/>
      <c r="B33" s="1"/>
      <c r="C33" s="1"/>
      <c r="D33" s="1"/>
      <c r="E33" s="1"/>
      <c r="F33" s="9" t="s">
        <v>6</v>
      </c>
      <c r="G33" s="10" t="s">
        <v>7</v>
      </c>
      <c r="H33" s="10" t="s">
        <v>8</v>
      </c>
      <c r="I33" s="10" t="s">
        <v>9</v>
      </c>
      <c r="J33" s="10" t="s">
        <v>10</v>
      </c>
      <c r="K33" s="10" t="s">
        <v>11</v>
      </c>
      <c r="L33" s="10" t="s">
        <v>12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>
      <c r="A34" s="1"/>
      <c r="B34" s="1"/>
      <c r="C34" s="1"/>
      <c r="D34" s="1"/>
      <c r="E34" s="1"/>
      <c r="F34" s="9" t="s">
        <v>18</v>
      </c>
      <c r="G34" s="13">
        <v>2.06</v>
      </c>
      <c r="H34" s="13">
        <v>1.65</v>
      </c>
      <c r="I34" s="13">
        <v>0.38</v>
      </c>
      <c r="J34" s="13" t="s">
        <v>19</v>
      </c>
      <c r="K34" s="12">
        <f t="shared" ref="K34:K35" si="7">G34*H34+(SQRT((G34*I34)^2+(H34*I34)^2))/2</f>
        <v>3.900474037</v>
      </c>
      <c r="L34" s="12">
        <f t="shared" ref="L34:L35" si="8">($D$15*(K34) / 60)</f>
        <v>7.800948074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>
      <c r="A35" s="1"/>
      <c r="B35" s="1"/>
      <c r="C35" s="1"/>
      <c r="D35" s="1"/>
      <c r="E35" s="1"/>
      <c r="F35" s="9" t="s">
        <v>25</v>
      </c>
      <c r="G35" s="39">
        <f>G34+0.6*2</f>
        <v>3.26</v>
      </c>
      <c r="H35" s="13">
        <v>4.46</v>
      </c>
      <c r="I35" s="13">
        <v>0.38</v>
      </c>
      <c r="J35" s="13" t="s">
        <v>19</v>
      </c>
      <c r="K35" s="12">
        <f t="shared" si="7"/>
        <v>15.58923952</v>
      </c>
      <c r="L35" s="12">
        <f t="shared" si="8"/>
        <v>31.17847904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>
      <c r="A36" s="1"/>
      <c r="B36" s="1"/>
      <c r="C36" s="1"/>
      <c r="D36" s="1"/>
      <c r="E36" s="1"/>
      <c r="F36" s="1"/>
      <c r="G36" s="1"/>
      <c r="H36" s="1"/>
      <c r="I36" s="7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>
      <c r="A37" s="1"/>
      <c r="B37" s="1"/>
      <c r="C37" s="1"/>
      <c r="D37" s="1"/>
      <c r="E37" s="1"/>
      <c r="F37" s="5" t="s">
        <v>81</v>
      </c>
      <c r="G37" s="6"/>
      <c r="H37" s="6"/>
      <c r="I37" s="6"/>
      <c r="J37" s="6"/>
      <c r="K37" s="6"/>
      <c r="L37" s="4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>
      <c r="A38" s="1"/>
      <c r="B38" s="1"/>
      <c r="C38" s="1"/>
      <c r="D38" s="1"/>
      <c r="E38" s="1"/>
      <c r="F38" s="9" t="s">
        <v>6</v>
      </c>
      <c r="G38" s="10" t="s">
        <v>7</v>
      </c>
      <c r="H38" s="10" t="s">
        <v>8</v>
      </c>
      <c r="I38" s="10" t="s">
        <v>9</v>
      </c>
      <c r="J38" s="10" t="s">
        <v>10</v>
      </c>
      <c r="K38" s="10" t="s">
        <v>11</v>
      </c>
      <c r="L38" s="10" t="s">
        <v>12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>
      <c r="A39" s="1"/>
      <c r="B39" s="1"/>
      <c r="C39" s="1"/>
      <c r="D39" s="1"/>
      <c r="E39" s="1"/>
      <c r="F39" s="9" t="s">
        <v>18</v>
      </c>
      <c r="G39" s="13">
        <v>2.29</v>
      </c>
      <c r="H39" s="13">
        <v>6.25</v>
      </c>
      <c r="I39" s="13">
        <v>0.4</v>
      </c>
      <c r="J39" s="13" t="s">
        <v>19</v>
      </c>
      <c r="K39" s="12">
        <f>((G39*H39)/2)+(SQRT((G39*I39)^2+(H39*I39)^2))/2</f>
        <v>8.487514061</v>
      </c>
      <c r="L39" s="12">
        <f t="shared" ref="L39:L40" si="9">($D$15*(K39) / 60)</f>
        <v>16.97502812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>
      <c r="A40" s="1"/>
      <c r="B40" s="1"/>
      <c r="C40" s="1"/>
      <c r="D40" s="1"/>
      <c r="E40" s="1"/>
      <c r="F40" s="9" t="s">
        <v>25</v>
      </c>
      <c r="G40" s="13">
        <v>5.01</v>
      </c>
      <c r="H40" s="13">
        <v>6.25</v>
      </c>
      <c r="I40" s="13">
        <v>0.4</v>
      </c>
      <c r="J40" s="13" t="s">
        <v>19</v>
      </c>
      <c r="K40" s="12">
        <f>G40*H40+(SQRT((G40*I40)^2+(H40*I40)^2))/2</f>
        <v>32.91453121</v>
      </c>
      <c r="L40" s="12">
        <f t="shared" si="9"/>
        <v>65.82906242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>
      <c r="A41" s="1"/>
      <c r="B41" s="1"/>
      <c r="C41" s="23"/>
      <c r="D41" s="23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>
      <c r="A42" s="1"/>
      <c r="B42" s="1"/>
      <c r="C42" s="23"/>
      <c r="D42" s="23"/>
      <c r="E42" s="1"/>
      <c r="F42" s="45" t="s">
        <v>82</v>
      </c>
      <c r="S42" s="1"/>
      <c r="T42" s="1"/>
      <c r="U42" s="1"/>
      <c r="V42" s="1"/>
      <c r="W42" s="1"/>
      <c r="X42" s="1"/>
    </row>
    <row r="43">
      <c r="A43" s="1"/>
      <c r="B43" s="1"/>
      <c r="C43" s="23"/>
      <c r="D43" s="23"/>
      <c r="E43" s="1"/>
      <c r="F43" s="5" t="s">
        <v>83</v>
      </c>
      <c r="G43" s="6"/>
      <c r="H43" s="6"/>
      <c r="I43" s="4"/>
      <c r="J43" s="46" t="s">
        <v>84</v>
      </c>
      <c r="K43" s="47"/>
      <c r="L43" s="27"/>
      <c r="M43" s="48" t="s">
        <v>85</v>
      </c>
      <c r="P43" s="48" t="s">
        <v>86</v>
      </c>
      <c r="S43" s="1"/>
      <c r="T43" s="1"/>
      <c r="U43" s="1"/>
      <c r="V43" s="1"/>
      <c r="W43" s="1"/>
      <c r="X43" s="1"/>
    </row>
    <row r="44">
      <c r="A44" s="1"/>
      <c r="B44" s="1"/>
      <c r="C44" s="23"/>
      <c r="D44" s="23"/>
      <c r="E44" s="1"/>
      <c r="F44" s="5" t="s">
        <v>87</v>
      </c>
      <c r="G44" s="49" t="s">
        <v>18</v>
      </c>
      <c r="H44" s="50" t="s">
        <v>25</v>
      </c>
      <c r="I44" s="50" t="s">
        <v>31</v>
      </c>
      <c r="J44" s="49" t="s">
        <v>18</v>
      </c>
      <c r="K44" s="50" t="s">
        <v>25</v>
      </c>
      <c r="L44" s="51" t="s">
        <v>31</v>
      </c>
      <c r="M44" s="49" t="s">
        <v>18</v>
      </c>
      <c r="N44" s="50" t="s">
        <v>25</v>
      </c>
      <c r="O44" s="51" t="s">
        <v>31</v>
      </c>
      <c r="P44" s="49" t="s">
        <v>18</v>
      </c>
      <c r="Q44" s="50" t="s">
        <v>25</v>
      </c>
      <c r="R44" s="51" t="s">
        <v>31</v>
      </c>
      <c r="S44" s="1"/>
      <c r="T44" s="1"/>
      <c r="U44" s="1"/>
      <c r="V44" s="1"/>
      <c r="W44" s="1"/>
      <c r="X44" s="1"/>
    </row>
    <row r="45">
      <c r="A45" s="1"/>
      <c r="B45" s="1"/>
      <c r="C45" s="1"/>
      <c r="D45" s="1"/>
      <c r="E45" s="1"/>
      <c r="F45" s="5" t="s">
        <v>2</v>
      </c>
      <c r="G45" s="52" t="s">
        <v>88</v>
      </c>
      <c r="H45" s="53">
        <f>L5</f>
        <v>41.8</v>
      </c>
      <c r="I45" s="54" t="s">
        <v>88</v>
      </c>
      <c r="J45" s="52" t="s">
        <v>88</v>
      </c>
      <c r="K45" s="55">
        <f>K5*((( (0.28*(0.16-(0.16*(2/3)))/(0.28+2*(0.16-(0.16*(2/3)))))^(2/3) * 0.01^(1/2))/0.011))</f>
        <v>21.70869003</v>
      </c>
      <c r="L45" s="54" t="s">
        <v>88</v>
      </c>
      <c r="M45" s="52" t="s">
        <v>88</v>
      </c>
      <c r="N45" s="56" t="s">
        <v>89</v>
      </c>
      <c r="O45" s="54" t="s">
        <v>88</v>
      </c>
      <c r="P45" s="52" t="s">
        <v>88</v>
      </c>
      <c r="Q45" s="57">
        <f>ROUNDUP(H45/90, 0)</f>
        <v>1</v>
      </c>
      <c r="R45" s="54" t="s">
        <v>88</v>
      </c>
      <c r="S45" s="23"/>
      <c r="T45" s="23"/>
      <c r="U45" s="23"/>
      <c r="V45" s="1"/>
      <c r="W45" s="1"/>
      <c r="X45" s="1"/>
    </row>
    <row r="46">
      <c r="A46" s="1"/>
      <c r="B46" s="1"/>
      <c r="C46" s="1"/>
      <c r="D46" s="1"/>
      <c r="E46" s="1"/>
      <c r="F46" s="5" t="s">
        <v>90</v>
      </c>
      <c r="G46" s="58"/>
      <c r="I46" s="59"/>
      <c r="J46" s="58"/>
      <c r="K46" s="22"/>
      <c r="L46" s="59"/>
      <c r="M46" s="58"/>
      <c r="N46" s="60" t="s">
        <v>91</v>
      </c>
      <c r="O46" s="59"/>
      <c r="P46" s="58"/>
      <c r="Q46" s="61" t="s">
        <v>92</v>
      </c>
      <c r="R46" s="59"/>
      <c r="S46" s="23"/>
      <c r="T46" s="23"/>
      <c r="U46" s="23"/>
      <c r="V46" s="1"/>
      <c r="W46" s="1"/>
      <c r="X46" s="1"/>
    </row>
    <row r="47">
      <c r="A47" s="1"/>
      <c r="B47" s="1"/>
      <c r="C47" s="1"/>
      <c r="D47" s="1"/>
      <c r="E47" s="1"/>
      <c r="F47" s="5" t="s">
        <v>40</v>
      </c>
      <c r="G47" s="62" t="s">
        <v>88</v>
      </c>
      <c r="H47" s="7" t="s">
        <v>88</v>
      </c>
      <c r="I47" s="63" t="s">
        <v>88</v>
      </c>
      <c r="J47" s="62" t="s">
        <v>88</v>
      </c>
      <c r="K47" s="7" t="s">
        <v>88</v>
      </c>
      <c r="L47" s="63" t="s">
        <v>88</v>
      </c>
      <c r="M47" s="62" t="s">
        <v>88</v>
      </c>
      <c r="N47" s="7" t="s">
        <v>88</v>
      </c>
      <c r="O47" s="63" t="s">
        <v>88</v>
      </c>
      <c r="P47" s="62" t="s">
        <v>88</v>
      </c>
      <c r="Q47" s="7" t="s">
        <v>88</v>
      </c>
      <c r="R47" s="63" t="s">
        <v>88</v>
      </c>
      <c r="S47" s="23"/>
      <c r="T47" s="23"/>
      <c r="U47" s="23"/>
      <c r="V47" s="1"/>
      <c r="W47" s="1"/>
      <c r="X47" s="1"/>
    </row>
    <row r="48">
      <c r="A48" s="1"/>
      <c r="B48" s="1"/>
      <c r="C48" s="1"/>
      <c r="D48" s="1"/>
      <c r="E48" s="1"/>
      <c r="F48" s="5" t="s">
        <v>90</v>
      </c>
      <c r="G48" s="58"/>
      <c r="I48" s="59"/>
      <c r="J48" s="58"/>
      <c r="L48" s="59"/>
      <c r="M48" s="58"/>
      <c r="O48" s="59"/>
      <c r="P48" s="58"/>
      <c r="R48" s="59"/>
      <c r="S48" s="1"/>
      <c r="T48" s="1"/>
      <c r="U48" s="1"/>
      <c r="V48" s="1"/>
      <c r="W48" s="1"/>
      <c r="X48" s="1"/>
    </row>
    <row r="49">
      <c r="A49" s="1"/>
      <c r="B49" s="1"/>
      <c r="C49" s="1"/>
      <c r="D49" s="1"/>
      <c r="E49" s="1"/>
      <c r="F49" s="5" t="s">
        <v>53</v>
      </c>
      <c r="G49" s="62" t="s">
        <v>88</v>
      </c>
      <c r="H49" s="7" t="s">
        <v>88</v>
      </c>
      <c r="I49" s="63" t="s">
        <v>88</v>
      </c>
      <c r="J49" s="62" t="s">
        <v>88</v>
      </c>
      <c r="K49" s="7" t="s">
        <v>88</v>
      </c>
      <c r="L49" s="63" t="s">
        <v>88</v>
      </c>
      <c r="M49" s="62" t="s">
        <v>88</v>
      </c>
      <c r="N49" s="7" t="s">
        <v>88</v>
      </c>
      <c r="O49" s="63" t="s">
        <v>88</v>
      </c>
      <c r="P49" s="62" t="s">
        <v>88</v>
      </c>
      <c r="Q49" s="7" t="s">
        <v>88</v>
      </c>
      <c r="R49" s="63" t="s">
        <v>88</v>
      </c>
      <c r="S49" s="1"/>
      <c r="T49" s="1"/>
      <c r="U49" s="1"/>
      <c r="V49" s="1"/>
      <c r="W49" s="1"/>
      <c r="X49" s="1"/>
    </row>
    <row r="50">
      <c r="A50" s="1"/>
      <c r="B50" s="1"/>
      <c r="C50" s="1"/>
      <c r="D50" s="1"/>
      <c r="E50" s="1"/>
      <c r="F50" s="5" t="s">
        <v>90</v>
      </c>
      <c r="G50" s="58"/>
      <c r="I50" s="59"/>
      <c r="J50" s="58"/>
      <c r="L50" s="59"/>
      <c r="M50" s="58"/>
      <c r="O50" s="59"/>
      <c r="P50" s="58"/>
      <c r="R50" s="59"/>
      <c r="S50" s="1"/>
      <c r="T50" s="1"/>
      <c r="U50" s="1"/>
      <c r="V50" s="1"/>
      <c r="W50" s="1"/>
      <c r="X50" s="1"/>
    </row>
    <row r="51">
      <c r="A51" s="1"/>
      <c r="B51" s="1"/>
      <c r="C51" s="1"/>
      <c r="D51" s="1"/>
      <c r="E51" s="1"/>
      <c r="F51" s="5" t="s">
        <v>93</v>
      </c>
      <c r="G51" s="64">
        <f>L20</f>
        <v>134.4512</v>
      </c>
      <c r="H51" s="65">
        <f>L24</f>
        <v>417.0614</v>
      </c>
      <c r="I51" s="63" t="s">
        <v>88</v>
      </c>
      <c r="J51" s="55">
        <f>K20*((( (0.5*(0.4-(0.4*(2/3)))/(0.5+2*(0.4-(0.4*(2/3)))))^(2/3) * 0.01^(1/2))/0.011))</f>
        <v>119.9527222</v>
      </c>
      <c r="K51" s="55">
        <f>K24*((( (0.5*(0.4-(0.4*(2/3)))/(0.5+2*(0.4-(0.4*(2/3)))))^(2/3) * 0.01^(1/2))/0.011))</f>
        <v>372.0877929</v>
      </c>
      <c r="L51" s="7" t="s">
        <v>88</v>
      </c>
      <c r="M51" s="56" t="s">
        <v>89</v>
      </c>
      <c r="N51" s="56" t="s">
        <v>89</v>
      </c>
      <c r="O51" s="63" t="s">
        <v>88</v>
      </c>
      <c r="P51" s="57">
        <f>ROUNDUP(G51/167, 0)</f>
        <v>1</v>
      </c>
      <c r="Q51" s="57">
        <f>ROUNDUP(H51/275, 0)</f>
        <v>2</v>
      </c>
      <c r="R51" s="63" t="s">
        <v>88</v>
      </c>
      <c r="S51" s="1"/>
      <c r="T51" s="1"/>
      <c r="U51" s="1"/>
      <c r="V51" s="1"/>
      <c r="W51" s="1"/>
      <c r="X51" s="1"/>
    </row>
    <row r="52">
      <c r="A52" s="1"/>
      <c r="B52" s="1"/>
      <c r="C52" s="1"/>
      <c r="D52" s="1"/>
      <c r="E52" s="1"/>
      <c r="F52" s="5" t="s">
        <v>90</v>
      </c>
      <c r="G52" s="58"/>
      <c r="I52" s="59"/>
      <c r="J52" s="22"/>
      <c r="K52" s="22"/>
      <c r="M52" s="60" t="s">
        <v>94</v>
      </c>
      <c r="N52" s="60" t="s">
        <v>94</v>
      </c>
      <c r="O52" s="59"/>
      <c r="P52" s="61" t="s">
        <v>95</v>
      </c>
      <c r="Q52" s="61" t="s">
        <v>95</v>
      </c>
      <c r="R52" s="59"/>
      <c r="S52" s="1"/>
      <c r="T52" s="1"/>
      <c r="U52" s="1"/>
      <c r="V52" s="1"/>
      <c r="W52" s="1"/>
      <c r="X52" s="1"/>
    </row>
    <row r="53">
      <c r="A53" s="1"/>
      <c r="B53" s="1"/>
      <c r="C53" s="1"/>
      <c r="D53" s="1"/>
      <c r="E53" s="1"/>
      <c r="F53" s="5" t="s">
        <v>74</v>
      </c>
      <c r="G53" s="62" t="s">
        <v>88</v>
      </c>
      <c r="H53" s="7" t="s">
        <v>88</v>
      </c>
      <c r="I53" s="63" t="s">
        <v>88</v>
      </c>
      <c r="J53" s="62" t="s">
        <v>88</v>
      </c>
      <c r="K53" s="7" t="s">
        <v>88</v>
      </c>
      <c r="L53" s="63" t="s">
        <v>88</v>
      </c>
      <c r="M53" s="62" t="s">
        <v>88</v>
      </c>
      <c r="N53" s="7" t="s">
        <v>88</v>
      </c>
      <c r="O53" s="63" t="s">
        <v>88</v>
      </c>
      <c r="P53" s="62" t="s">
        <v>88</v>
      </c>
      <c r="Q53" s="7" t="s">
        <v>88</v>
      </c>
      <c r="R53" s="63" t="s">
        <v>88</v>
      </c>
      <c r="S53" s="1"/>
      <c r="T53" s="1"/>
      <c r="U53" s="1"/>
      <c r="V53" s="1"/>
      <c r="W53" s="1"/>
      <c r="X53" s="1"/>
    </row>
    <row r="54">
      <c r="A54" s="1"/>
      <c r="B54" s="1"/>
      <c r="C54" s="1"/>
      <c r="D54" s="1"/>
      <c r="E54" s="1"/>
      <c r="F54" s="5" t="s">
        <v>90</v>
      </c>
      <c r="G54" s="58"/>
      <c r="I54" s="59"/>
      <c r="J54" s="58"/>
      <c r="L54" s="59"/>
      <c r="M54" s="58"/>
      <c r="O54" s="59"/>
      <c r="P54" s="58"/>
      <c r="R54" s="59"/>
      <c r="S54" s="1"/>
      <c r="T54" s="1"/>
      <c r="U54" s="1"/>
      <c r="V54" s="1"/>
      <c r="W54" s="1"/>
      <c r="X54" s="1"/>
    </row>
    <row r="55">
      <c r="A55" s="1"/>
      <c r="B55" s="1"/>
      <c r="C55" s="1"/>
      <c r="D55" s="1"/>
      <c r="E55" s="1"/>
      <c r="F55" s="5" t="s">
        <v>80</v>
      </c>
      <c r="G55" s="62" t="s">
        <v>88</v>
      </c>
      <c r="H55" s="7" t="s">
        <v>88</v>
      </c>
      <c r="I55" s="63" t="s">
        <v>88</v>
      </c>
      <c r="J55" s="62" t="s">
        <v>88</v>
      </c>
      <c r="K55" s="7" t="s">
        <v>88</v>
      </c>
      <c r="L55" s="63" t="s">
        <v>88</v>
      </c>
      <c r="M55" s="62" t="s">
        <v>88</v>
      </c>
      <c r="N55" s="7" t="s">
        <v>88</v>
      </c>
      <c r="O55" s="63" t="s">
        <v>88</v>
      </c>
      <c r="P55" s="62" t="s">
        <v>88</v>
      </c>
      <c r="Q55" s="7" t="s">
        <v>88</v>
      </c>
      <c r="R55" s="63" t="s">
        <v>88</v>
      </c>
      <c r="S55" s="1"/>
      <c r="T55" s="1"/>
      <c r="U55" s="1"/>
      <c r="V55" s="1"/>
      <c r="W55" s="1"/>
      <c r="X55" s="1"/>
    </row>
    <row r="56">
      <c r="A56" s="1"/>
      <c r="B56" s="1"/>
      <c r="C56" s="1"/>
      <c r="D56" s="1"/>
      <c r="E56" s="1"/>
      <c r="F56" s="5" t="s">
        <v>90</v>
      </c>
      <c r="G56" s="58"/>
      <c r="I56" s="59"/>
      <c r="J56" s="58"/>
      <c r="L56" s="59"/>
      <c r="M56" s="58"/>
      <c r="O56" s="59"/>
      <c r="P56" s="58"/>
      <c r="R56" s="59"/>
      <c r="S56" s="1"/>
      <c r="T56" s="1"/>
      <c r="U56" s="1"/>
      <c r="V56" s="1"/>
      <c r="W56" s="1"/>
      <c r="X56" s="1"/>
    </row>
    <row r="57">
      <c r="A57" s="1"/>
      <c r="B57" s="1"/>
      <c r="C57" s="1"/>
      <c r="D57" s="1"/>
      <c r="E57" s="1"/>
      <c r="F57" s="5" t="s">
        <v>81</v>
      </c>
      <c r="G57" s="62" t="s">
        <v>88</v>
      </c>
      <c r="H57" s="7" t="s">
        <v>88</v>
      </c>
      <c r="I57" s="63" t="s">
        <v>88</v>
      </c>
      <c r="J57" s="62" t="s">
        <v>88</v>
      </c>
      <c r="K57" s="7" t="s">
        <v>88</v>
      </c>
      <c r="L57" s="63" t="s">
        <v>88</v>
      </c>
      <c r="M57" s="62" t="s">
        <v>88</v>
      </c>
      <c r="N57" s="7" t="s">
        <v>88</v>
      </c>
      <c r="O57" s="63" t="s">
        <v>88</v>
      </c>
      <c r="P57" s="62" t="s">
        <v>88</v>
      </c>
      <c r="Q57" s="7" t="s">
        <v>88</v>
      </c>
      <c r="R57" s="63" t="s">
        <v>88</v>
      </c>
      <c r="S57" s="1"/>
      <c r="T57" s="1"/>
      <c r="U57" s="1"/>
      <c r="V57" s="1"/>
      <c r="W57" s="1"/>
      <c r="X57" s="1"/>
    </row>
    <row r="58">
      <c r="A58" s="1"/>
      <c r="B58" s="1"/>
      <c r="C58" s="1"/>
      <c r="D58" s="1"/>
      <c r="E58" s="1"/>
      <c r="F58" s="5" t="s">
        <v>90</v>
      </c>
      <c r="G58" s="66"/>
      <c r="H58" s="67"/>
      <c r="I58" s="68"/>
      <c r="J58" s="66"/>
      <c r="K58" s="67"/>
      <c r="L58" s="68"/>
      <c r="M58" s="66"/>
      <c r="N58" s="67"/>
      <c r="O58" s="68"/>
      <c r="P58" s="66"/>
      <c r="Q58" s="67"/>
      <c r="R58" s="68"/>
      <c r="S58" s="1"/>
      <c r="T58" s="1"/>
      <c r="U58" s="1"/>
      <c r="V58" s="1"/>
      <c r="W58" s="1"/>
      <c r="X58" s="1"/>
    </row>
    <row r="59">
      <c r="A59" s="1"/>
      <c r="B59" s="1"/>
      <c r="C59" s="1"/>
      <c r="D59" s="1"/>
      <c r="E59" s="1"/>
      <c r="F59" s="69"/>
      <c r="G59" s="69"/>
      <c r="H59" s="70"/>
      <c r="I59" s="70"/>
      <c r="J59" s="70"/>
      <c r="K59" s="70"/>
      <c r="L59" s="7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>
      <c r="A60" s="1"/>
      <c r="B60" s="1"/>
      <c r="C60" s="1"/>
      <c r="D60" s="1"/>
      <c r="E60" s="1"/>
      <c r="F60" s="45" t="s">
        <v>96</v>
      </c>
      <c r="M60" s="69"/>
      <c r="N60" s="69"/>
      <c r="O60" s="69"/>
      <c r="P60" s="1"/>
      <c r="Q60" s="1"/>
      <c r="R60" s="1"/>
      <c r="S60" s="1"/>
      <c r="T60" s="1"/>
      <c r="U60" s="1"/>
      <c r="V60" s="1"/>
      <c r="W60" s="1"/>
      <c r="X60" s="1"/>
    </row>
    <row r="61">
      <c r="A61" s="1"/>
      <c r="B61" s="1"/>
      <c r="C61" s="1"/>
      <c r="D61" s="1"/>
      <c r="E61" s="1"/>
      <c r="F61" s="5" t="s">
        <v>83</v>
      </c>
      <c r="G61" s="6"/>
      <c r="H61" s="6"/>
      <c r="I61" s="4"/>
      <c r="J61" s="5" t="s">
        <v>97</v>
      </c>
      <c r="K61" s="6"/>
      <c r="L61" s="4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>
      <c r="A62" s="1"/>
      <c r="B62" s="1"/>
      <c r="C62" s="1"/>
      <c r="D62" s="1"/>
      <c r="E62" s="1"/>
      <c r="F62" s="5" t="s">
        <v>87</v>
      </c>
      <c r="G62" s="49" t="s">
        <v>18</v>
      </c>
      <c r="H62" s="50" t="s">
        <v>25</v>
      </c>
      <c r="I62" s="50" t="s">
        <v>31</v>
      </c>
      <c r="J62" s="49" t="s">
        <v>18</v>
      </c>
      <c r="K62" s="50" t="s">
        <v>25</v>
      </c>
      <c r="L62" s="51" t="s">
        <v>31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>
      <c r="A63" s="1"/>
      <c r="B63" s="1"/>
      <c r="C63" s="1"/>
      <c r="D63" s="1"/>
      <c r="E63" s="1"/>
      <c r="F63" s="5" t="s">
        <v>2</v>
      </c>
      <c r="G63" s="71">
        <v>33.40965682975747</v>
      </c>
      <c r="H63" s="35" t="s">
        <v>88</v>
      </c>
      <c r="I63" s="53">
        <v>14.373212412653231</v>
      </c>
      <c r="J63" s="72">
        <f>ROUNDUP(G63/90, 0)</f>
        <v>1</v>
      </c>
      <c r="K63" s="35" t="s">
        <v>88</v>
      </c>
      <c r="L63" s="73">
        <f>ROUNDUP(I63/90, 0)</f>
        <v>1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>
      <c r="A64" s="1"/>
      <c r="B64" s="1"/>
      <c r="C64" s="1"/>
      <c r="D64" s="1"/>
      <c r="E64" s="1"/>
      <c r="F64" s="5" t="s">
        <v>90</v>
      </c>
      <c r="G64" s="58"/>
      <c r="J64" s="74" t="s">
        <v>92</v>
      </c>
      <c r="L64" s="75" t="s">
        <v>92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>
      <c r="A65" s="1"/>
      <c r="B65" s="1"/>
      <c r="C65" s="1"/>
      <c r="D65" s="1"/>
      <c r="E65" s="1"/>
      <c r="F65" s="5" t="s">
        <v>40</v>
      </c>
      <c r="G65" s="64">
        <v>282.3148295984775</v>
      </c>
      <c r="H65" s="76">
        <v>33.793429467940385</v>
      </c>
      <c r="I65" s="7" t="s">
        <v>88</v>
      </c>
      <c r="J65" s="77">
        <f>ROUNDUP(G65/167, 0)</f>
        <v>2</v>
      </c>
      <c r="K65" s="78">
        <f>ROUNDUP(H65/90, 0)</f>
        <v>1</v>
      </c>
      <c r="L65" s="63" t="s">
        <v>88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>
      <c r="A66" s="1"/>
      <c r="B66" s="1"/>
      <c r="C66" s="1"/>
      <c r="D66" s="1"/>
      <c r="E66" s="1"/>
      <c r="F66" s="5" t="s">
        <v>90</v>
      </c>
      <c r="G66" s="58"/>
      <c r="J66" s="75" t="s">
        <v>95</v>
      </c>
      <c r="K66" s="79" t="s">
        <v>92</v>
      </c>
      <c r="L66" s="59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>
      <c r="A67" s="1"/>
      <c r="B67" s="1"/>
      <c r="C67" s="1"/>
      <c r="D67" s="1"/>
      <c r="E67" s="1"/>
      <c r="F67" s="5" t="s">
        <v>53</v>
      </c>
      <c r="G67" s="64">
        <v>30.071295929085572</v>
      </c>
      <c r="H67" s="65">
        <v>49.336</v>
      </c>
      <c r="I67" s="7" t="s">
        <v>88</v>
      </c>
      <c r="J67" s="77">
        <f t="shared" ref="J67:K67" si="10">ROUNDUP(G67/90, 0)</f>
        <v>1</v>
      </c>
      <c r="K67" s="78">
        <f t="shared" si="10"/>
        <v>1</v>
      </c>
      <c r="L67" s="63" t="s">
        <v>88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>
      <c r="A68" s="1"/>
      <c r="B68" s="1"/>
      <c r="C68" s="1"/>
      <c r="D68" s="1"/>
      <c r="E68" s="1"/>
      <c r="F68" s="5" t="s">
        <v>90</v>
      </c>
      <c r="G68" s="58"/>
      <c r="J68" s="74" t="s">
        <v>92</v>
      </c>
      <c r="K68" s="79" t="s">
        <v>92</v>
      </c>
      <c r="L68" s="59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>
      <c r="A69" s="1"/>
      <c r="B69" s="1"/>
      <c r="C69" s="1"/>
      <c r="D69" s="1"/>
      <c r="E69" s="1"/>
      <c r="F69" s="5" t="s">
        <v>93</v>
      </c>
      <c r="G69" s="62" t="s">
        <v>88</v>
      </c>
      <c r="H69" s="7" t="s">
        <v>88</v>
      </c>
      <c r="I69" s="65">
        <v>332.6568</v>
      </c>
      <c r="J69" s="62" t="s">
        <v>88</v>
      </c>
      <c r="K69" s="7" t="s">
        <v>88</v>
      </c>
      <c r="L69" s="80">
        <f>ROUNDUP(I69/167, 0)</f>
        <v>2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>
      <c r="A70" s="1"/>
      <c r="B70" s="1"/>
      <c r="C70" s="1"/>
      <c r="D70" s="1"/>
      <c r="E70" s="1"/>
      <c r="F70" s="5" t="s">
        <v>90</v>
      </c>
      <c r="G70" s="58"/>
      <c r="J70" s="58"/>
      <c r="L70" s="75" t="s">
        <v>95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>
      <c r="A71" s="1"/>
      <c r="B71" s="1"/>
      <c r="C71" s="1"/>
      <c r="D71" s="1"/>
      <c r="E71" s="1"/>
      <c r="F71" s="5" t="s">
        <v>74</v>
      </c>
      <c r="G71" s="64">
        <v>135.12496692658766</v>
      </c>
      <c r="H71" s="7" t="s">
        <v>88</v>
      </c>
      <c r="I71" s="7" t="s">
        <v>88</v>
      </c>
      <c r="J71" s="77">
        <f>ROUNDUP(G71/90, 0)</f>
        <v>2</v>
      </c>
      <c r="K71" s="7" t="s">
        <v>88</v>
      </c>
      <c r="L71" s="63" t="s">
        <v>88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>
      <c r="A72" s="1"/>
      <c r="B72" s="1"/>
      <c r="C72" s="1"/>
      <c r="D72" s="1"/>
      <c r="E72" s="1"/>
      <c r="F72" s="5" t="s">
        <v>90</v>
      </c>
      <c r="G72" s="58"/>
      <c r="J72" s="74" t="s">
        <v>92</v>
      </c>
      <c r="L72" s="59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>
      <c r="A73" s="1"/>
      <c r="B73" s="1"/>
      <c r="C73" s="1"/>
      <c r="D73" s="1"/>
      <c r="E73" s="1"/>
      <c r="F73" s="5" t="s">
        <v>80</v>
      </c>
      <c r="G73" s="64">
        <v>7.8009480744285815</v>
      </c>
      <c r="H73" s="65">
        <v>31.17847903814619</v>
      </c>
      <c r="I73" s="7" t="s">
        <v>88</v>
      </c>
      <c r="J73" s="77">
        <f t="shared" ref="J73:K73" si="11">ROUNDUP(G73/90, 0)</f>
        <v>1</v>
      </c>
      <c r="K73" s="78">
        <f t="shared" si="11"/>
        <v>1</v>
      </c>
      <c r="L73" s="63" t="s">
        <v>88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>
      <c r="A74" s="1"/>
      <c r="B74" s="1"/>
      <c r="C74" s="1"/>
      <c r="D74" s="1"/>
      <c r="E74" s="1"/>
      <c r="F74" s="5" t="s">
        <v>90</v>
      </c>
      <c r="G74" s="58"/>
      <c r="J74" s="74" t="s">
        <v>92</v>
      </c>
      <c r="K74" s="79" t="s">
        <v>92</v>
      </c>
      <c r="L74" s="59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>
      <c r="A75" s="1"/>
      <c r="B75" s="1"/>
      <c r="C75" s="1"/>
      <c r="D75" s="1"/>
      <c r="E75" s="1"/>
      <c r="F75" s="5" t="s">
        <v>81</v>
      </c>
      <c r="G75" s="64">
        <v>16.975028121917212</v>
      </c>
      <c r="H75" s="76">
        <v>65.82906242136448</v>
      </c>
      <c r="I75" s="7" t="s">
        <v>88</v>
      </c>
      <c r="J75" s="77">
        <f t="shared" ref="J75:K75" si="12">ROUNDUP(G75/90, 0)</f>
        <v>1</v>
      </c>
      <c r="K75" s="78">
        <f t="shared" si="12"/>
        <v>1</v>
      </c>
      <c r="L75" s="63" t="s">
        <v>88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>
      <c r="A76" s="1"/>
      <c r="B76" s="1"/>
      <c r="C76" s="1"/>
      <c r="D76" s="1"/>
      <c r="E76" s="1"/>
      <c r="F76" s="5" t="s">
        <v>90</v>
      </c>
      <c r="G76" s="66"/>
      <c r="H76" s="67"/>
      <c r="I76" s="67"/>
      <c r="J76" s="81" t="s">
        <v>92</v>
      </c>
      <c r="K76" s="82" t="s">
        <v>92</v>
      </c>
      <c r="L76" s="68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>
      <c r="A77" s="1"/>
      <c r="B77" s="1"/>
      <c r="C77" s="1"/>
      <c r="D77" s="1"/>
      <c r="E77" s="1"/>
      <c r="F77" s="23"/>
      <c r="G77" s="23"/>
      <c r="H77" s="23"/>
      <c r="I77" s="23"/>
      <c r="J77" s="23"/>
      <c r="K77" s="23"/>
      <c r="L77" s="23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>
      <c r="A78" s="1"/>
      <c r="B78" s="1"/>
      <c r="C78" s="1"/>
      <c r="D78" s="1"/>
      <c r="E78" s="1"/>
      <c r="F78" s="83" t="s">
        <v>98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>
      <c r="A79" s="1"/>
      <c r="B79" s="1"/>
      <c r="C79" s="1"/>
      <c r="D79" s="1"/>
      <c r="E79" s="1"/>
      <c r="F79" s="84" t="s">
        <v>99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>
      <c r="A80" s="1"/>
      <c r="B80" s="1"/>
      <c r="C80" s="1"/>
      <c r="D80" s="1"/>
      <c r="E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>
      <c r="A81" s="1"/>
      <c r="B81" s="1"/>
      <c r="C81" s="1"/>
      <c r="D81" s="1"/>
      <c r="E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>
      <c r="A82" s="1"/>
      <c r="B82" s="1"/>
      <c r="C82" s="1"/>
      <c r="D82" s="1"/>
      <c r="E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>
      <c r="A83" s="1"/>
      <c r="B83" s="1"/>
      <c r="C83" s="1"/>
      <c r="D83" s="1"/>
      <c r="E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>
      <c r="A84" s="1"/>
      <c r="B84" s="1"/>
      <c r="C84" s="1"/>
      <c r="D84" s="1"/>
      <c r="E84" s="1"/>
      <c r="F84" s="7"/>
      <c r="G84" s="7"/>
      <c r="H84" s="7"/>
      <c r="I84" s="7"/>
      <c r="J84" s="7"/>
      <c r="K84" s="7"/>
      <c r="L84" s="7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>
      <c r="A85" s="1"/>
      <c r="B85" s="1"/>
      <c r="C85" s="1"/>
      <c r="D85" s="1"/>
      <c r="E85" s="1"/>
      <c r="F85" s="7"/>
      <c r="G85" s="7"/>
      <c r="H85" s="7"/>
      <c r="I85" s="7"/>
      <c r="J85" s="7"/>
      <c r="K85" s="7"/>
      <c r="L85" s="7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>
      <c r="A86" s="1"/>
      <c r="B86" s="1"/>
      <c r="C86" s="1"/>
      <c r="D86" s="1"/>
      <c r="E86" s="1"/>
      <c r="F86" s="7"/>
      <c r="G86" s="7"/>
      <c r="H86" s="7"/>
      <c r="I86" s="7"/>
      <c r="J86" s="7"/>
      <c r="K86" s="7"/>
      <c r="L86" s="7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>
      <c r="A87" s="1"/>
      <c r="B87" s="1"/>
      <c r="C87" s="1"/>
      <c r="D87" s="1"/>
      <c r="E87" s="1"/>
      <c r="F87" s="7"/>
      <c r="G87" s="7"/>
      <c r="H87" s="7"/>
      <c r="I87" s="7"/>
      <c r="J87" s="7"/>
      <c r="K87" s="7"/>
      <c r="L87" s="7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>
      <c r="A88" s="1"/>
      <c r="B88" s="1"/>
      <c r="C88" s="1"/>
      <c r="D88" s="1"/>
      <c r="E88" s="1"/>
      <c r="F88" s="7"/>
      <c r="G88" s="7"/>
      <c r="H88" s="7"/>
      <c r="I88" s="7"/>
      <c r="J88" s="7"/>
      <c r="K88" s="7"/>
      <c r="L88" s="7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>
      <c r="A89" s="1"/>
      <c r="B89" s="1"/>
      <c r="C89" s="1"/>
      <c r="D89" s="1"/>
      <c r="E89" s="1"/>
      <c r="F89" s="7"/>
      <c r="G89" s="7"/>
      <c r="H89" s="7"/>
      <c r="I89" s="7"/>
      <c r="J89" s="7"/>
      <c r="K89" s="7"/>
      <c r="L89" s="7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>
      <c r="A90" s="1"/>
      <c r="B90" s="1"/>
      <c r="C90" s="1"/>
      <c r="D90" s="1"/>
      <c r="E90" s="1"/>
      <c r="F90" s="7"/>
      <c r="G90" s="7"/>
      <c r="H90" s="7"/>
      <c r="I90" s="7"/>
      <c r="J90" s="7"/>
      <c r="K90" s="7"/>
      <c r="L90" s="7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>
      <c r="A91" s="1"/>
      <c r="B91" s="1"/>
      <c r="C91" s="1"/>
      <c r="D91" s="1"/>
      <c r="E91" s="1"/>
      <c r="F91" s="7"/>
      <c r="G91" s="7"/>
      <c r="H91" s="7"/>
      <c r="I91" s="7"/>
      <c r="J91" s="7"/>
      <c r="K91" s="7"/>
      <c r="L91" s="7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</row>
    <row r="1013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</row>
    <row r="1014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</row>
    <row r="101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</row>
    <row r="1016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</row>
    <row r="1017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</row>
    <row r="1018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</row>
    <row r="1019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</row>
    <row r="1020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</row>
    <row r="10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</row>
    <row r="1022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</row>
    <row r="1023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</row>
    <row r="1024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</row>
    <row r="10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</row>
    <row r="1026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</row>
    <row r="1027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</row>
    <row r="1028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</row>
    <row r="1029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</row>
    <row r="1030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</row>
    <row r="103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</row>
    <row r="1032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</row>
    <row r="1033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</row>
    <row r="1034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</row>
    <row r="103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</row>
    <row r="1036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</row>
    <row r="1037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</row>
    <row r="1038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</row>
    <row r="1039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</row>
  </sheetData>
  <mergeCells count="150">
    <mergeCell ref="C2:D2"/>
    <mergeCell ref="F2:L2"/>
    <mergeCell ref="N2:Q2"/>
    <mergeCell ref="C3:D3"/>
    <mergeCell ref="C4:D4"/>
    <mergeCell ref="C5:D5"/>
    <mergeCell ref="C6:D6"/>
    <mergeCell ref="P11:Q11"/>
    <mergeCell ref="P12:Q12"/>
    <mergeCell ref="C7:D7"/>
    <mergeCell ref="B8:B9"/>
    <mergeCell ref="F8:L8"/>
    <mergeCell ref="C10:D10"/>
    <mergeCell ref="P10:Q10"/>
    <mergeCell ref="C11:D11"/>
    <mergeCell ref="F13:L13"/>
    <mergeCell ref="K22:L22"/>
    <mergeCell ref="K23:L23"/>
    <mergeCell ref="C12:D12"/>
    <mergeCell ref="C14:D14"/>
    <mergeCell ref="F18:L18"/>
    <mergeCell ref="F21:F23"/>
    <mergeCell ref="K21:L21"/>
    <mergeCell ref="B22:D22"/>
    <mergeCell ref="B23:D23"/>
    <mergeCell ref="B24:D24"/>
    <mergeCell ref="F24:J24"/>
    <mergeCell ref="F27:L27"/>
    <mergeCell ref="B29:D29"/>
    <mergeCell ref="C32:D32"/>
    <mergeCell ref="F32:L32"/>
    <mergeCell ref="F37:L37"/>
    <mergeCell ref="I45:I46"/>
    <mergeCell ref="J45:J46"/>
    <mergeCell ref="G49:G50"/>
    <mergeCell ref="H49:H50"/>
    <mergeCell ref="I49:I50"/>
    <mergeCell ref="J49:J50"/>
    <mergeCell ref="K49:K50"/>
    <mergeCell ref="L49:L50"/>
    <mergeCell ref="M49:M50"/>
    <mergeCell ref="H51:H52"/>
    <mergeCell ref="I51:I52"/>
    <mergeCell ref="J51:J52"/>
    <mergeCell ref="K51:K52"/>
    <mergeCell ref="L51:L52"/>
    <mergeCell ref="O51:O52"/>
    <mergeCell ref="R51:R52"/>
    <mergeCell ref="M45:M46"/>
    <mergeCell ref="O45:O46"/>
    <mergeCell ref="P45:P46"/>
    <mergeCell ref="R45:R46"/>
    <mergeCell ref="F42:R42"/>
    <mergeCell ref="F43:I43"/>
    <mergeCell ref="J43:L43"/>
    <mergeCell ref="M43:O43"/>
    <mergeCell ref="P43:R43"/>
    <mergeCell ref="G45:G46"/>
    <mergeCell ref="H45:H46"/>
    <mergeCell ref="L47:L48"/>
    <mergeCell ref="M47:M48"/>
    <mergeCell ref="N47:N48"/>
    <mergeCell ref="O47:O48"/>
    <mergeCell ref="P47:P48"/>
    <mergeCell ref="Q47:Q48"/>
    <mergeCell ref="R47:R48"/>
    <mergeCell ref="K45:K46"/>
    <mergeCell ref="L45:L46"/>
    <mergeCell ref="G47:G48"/>
    <mergeCell ref="H47:H48"/>
    <mergeCell ref="I47:I48"/>
    <mergeCell ref="J47:J48"/>
    <mergeCell ref="K47:K48"/>
    <mergeCell ref="N49:N50"/>
    <mergeCell ref="O49:O50"/>
    <mergeCell ref="P49:P50"/>
    <mergeCell ref="Q49:Q50"/>
    <mergeCell ref="R49:R50"/>
    <mergeCell ref="M53:M54"/>
    <mergeCell ref="N53:N54"/>
    <mergeCell ref="O53:O54"/>
    <mergeCell ref="P53:P54"/>
    <mergeCell ref="Q53:Q54"/>
    <mergeCell ref="R53:R54"/>
    <mergeCell ref="G65:G66"/>
    <mergeCell ref="H65:H66"/>
    <mergeCell ref="I65:I66"/>
    <mergeCell ref="L65:L66"/>
    <mergeCell ref="H67:H68"/>
    <mergeCell ref="I67:I68"/>
    <mergeCell ref="L67:L68"/>
    <mergeCell ref="K71:K72"/>
    <mergeCell ref="L71:L72"/>
    <mergeCell ref="L73:L74"/>
    <mergeCell ref="L75:L76"/>
    <mergeCell ref="G73:G74"/>
    <mergeCell ref="H73:H74"/>
    <mergeCell ref="I73:I74"/>
    <mergeCell ref="G75:G76"/>
    <mergeCell ref="H75:H76"/>
    <mergeCell ref="I75:I76"/>
    <mergeCell ref="F78:L78"/>
    <mergeCell ref="F79:L79"/>
    <mergeCell ref="G67:G68"/>
    <mergeCell ref="G69:G70"/>
    <mergeCell ref="H69:H70"/>
    <mergeCell ref="I69:I70"/>
    <mergeCell ref="J69:J70"/>
    <mergeCell ref="K69:K70"/>
    <mergeCell ref="G71:G72"/>
    <mergeCell ref="G51:G52"/>
    <mergeCell ref="G53:G54"/>
    <mergeCell ref="H53:H54"/>
    <mergeCell ref="I53:I54"/>
    <mergeCell ref="J53:J54"/>
    <mergeCell ref="K53:K54"/>
    <mergeCell ref="L53:L54"/>
    <mergeCell ref="N55:N56"/>
    <mergeCell ref="O55:O56"/>
    <mergeCell ref="P55:P56"/>
    <mergeCell ref="Q55:Q56"/>
    <mergeCell ref="R55:R56"/>
    <mergeCell ref="G55:G56"/>
    <mergeCell ref="H55:H56"/>
    <mergeCell ref="I55:I56"/>
    <mergeCell ref="J55:J56"/>
    <mergeCell ref="K55:K56"/>
    <mergeCell ref="L55:L56"/>
    <mergeCell ref="M55:M56"/>
    <mergeCell ref="N57:N58"/>
    <mergeCell ref="O57:O58"/>
    <mergeCell ref="P57:P58"/>
    <mergeCell ref="Q57:Q58"/>
    <mergeCell ref="R57:R58"/>
    <mergeCell ref="G57:G58"/>
    <mergeCell ref="H57:H58"/>
    <mergeCell ref="I57:I58"/>
    <mergeCell ref="J57:J58"/>
    <mergeCell ref="K57:K58"/>
    <mergeCell ref="L57:L58"/>
    <mergeCell ref="M57:M58"/>
    <mergeCell ref="F60:L60"/>
    <mergeCell ref="F61:I61"/>
    <mergeCell ref="J61:L61"/>
    <mergeCell ref="G63:G64"/>
    <mergeCell ref="H63:H64"/>
    <mergeCell ref="I63:I64"/>
    <mergeCell ref="K63:K64"/>
    <mergeCell ref="H71:H72"/>
    <mergeCell ref="I71:I72"/>
  </mergeCells>
  <conditionalFormatting sqref="G45:R58 G63:I77 J63:K77 L63:L77">
    <cfRule type="cellIs" dxfId="0" priority="1" operator="equal">
      <formula>"-"</formula>
    </cfRule>
  </conditionalFormatting>
  <hyperlinks>
    <hyperlink r:id="rId1" ref="F79"/>
  </hyperlinks>
  <drawing r:id="rId2"/>
</worksheet>
</file>